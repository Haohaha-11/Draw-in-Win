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ESTC_undergraduate_life\Contest\MCM\test\SDGS关联度矩阵\"/>
    </mc:Choice>
  </mc:AlternateContent>
  <xr:revisionPtr revIDLastSave="0" documentId="13_ncr:1_{95E0E018-2503-4C3E-B7EB-A79D38F5720E}" xr6:coauthVersionLast="47" xr6:coauthVersionMax="47" xr10:uidLastSave="{00000000-0000-0000-0000-000000000000}"/>
  <bookViews>
    <workbookView xWindow="-110" yWindow="-110" windowWidth="25820" windowHeight="15500" activeTab="3" xr2:uid="{B5892ED2-3CA6-4900-A3BC-66044F3859AD}"/>
  </bookViews>
  <sheets>
    <sheet name="RawData" sheetId="1" r:id="rId1"/>
    <sheet name="Score" sheetId="2" r:id="rId2"/>
    <sheet name="Rank" sheetId="4" r:id="rId3"/>
    <sheet name="Spearma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C4" i="2"/>
  <c r="C12" i="1"/>
  <c r="I3" i="4"/>
  <c r="I7" i="4"/>
  <c r="I8" i="4"/>
  <c r="I9" i="4"/>
  <c r="Q3" i="2"/>
  <c r="Q4" i="2"/>
  <c r="Q5" i="2"/>
  <c r="Q6" i="2"/>
  <c r="Q7" i="2"/>
  <c r="Q8" i="2"/>
  <c r="Q9" i="2"/>
  <c r="Q10" i="2"/>
  <c r="Q11" i="2"/>
  <c r="O6" i="2"/>
  <c r="O8" i="2"/>
  <c r="N3" i="2"/>
  <c r="N3" i="4" s="1"/>
  <c r="N4" i="2"/>
  <c r="N4" i="4" s="1"/>
  <c r="N5" i="2"/>
  <c r="N5" i="4" s="1"/>
  <c r="N6" i="2"/>
  <c r="N6" i="4" s="1"/>
  <c r="N7" i="2"/>
  <c r="N7" i="4" s="1"/>
  <c r="N8" i="2"/>
  <c r="N8" i="4" s="1"/>
  <c r="N9" i="2"/>
  <c r="N9" i="4" s="1"/>
  <c r="N10" i="2"/>
  <c r="N10" i="4" s="1"/>
  <c r="N11" i="2"/>
  <c r="N11" i="4" s="1"/>
  <c r="M3" i="2"/>
  <c r="M4" i="2"/>
  <c r="M5" i="2"/>
  <c r="M6" i="2"/>
  <c r="M7" i="2"/>
  <c r="M8" i="2"/>
  <c r="M9" i="2"/>
  <c r="M10" i="2"/>
  <c r="M11" i="2"/>
  <c r="L3" i="2"/>
  <c r="L3" i="4" s="1"/>
  <c r="L4" i="2"/>
  <c r="L4" i="4" s="1"/>
  <c r="L5" i="2"/>
  <c r="L5" i="4" s="1"/>
  <c r="L6" i="2"/>
  <c r="L6" i="4" s="1"/>
  <c r="L7" i="2"/>
  <c r="L7" i="4" s="1"/>
  <c r="L8" i="2"/>
  <c r="L9" i="2"/>
  <c r="L9" i="4" s="1"/>
  <c r="L10" i="2"/>
  <c r="L10" i="4" s="1"/>
  <c r="L11" i="2"/>
  <c r="K3" i="2"/>
  <c r="K4" i="2"/>
  <c r="K4" i="4" s="1"/>
  <c r="K5" i="2"/>
  <c r="K6" i="2"/>
  <c r="K7" i="2"/>
  <c r="K8" i="2"/>
  <c r="K9" i="2"/>
  <c r="K10" i="2"/>
  <c r="K11" i="2"/>
  <c r="J7" i="2"/>
  <c r="I3" i="2"/>
  <c r="I4" i="2"/>
  <c r="I4" i="4" s="1"/>
  <c r="I5" i="2"/>
  <c r="I5" i="4" s="1"/>
  <c r="I6" i="2"/>
  <c r="I6" i="4" s="1"/>
  <c r="I7" i="2"/>
  <c r="I8" i="2"/>
  <c r="I9" i="2"/>
  <c r="I10" i="2"/>
  <c r="I10" i="4" s="1"/>
  <c r="I11" i="2"/>
  <c r="I11" i="4" s="1"/>
  <c r="G3" i="2"/>
  <c r="G11" i="4" s="1"/>
  <c r="G4" i="2"/>
  <c r="G7" i="4" s="1"/>
  <c r="G5" i="2"/>
  <c r="G6" i="2"/>
  <c r="G6" i="4" s="1"/>
  <c r="G7" i="2"/>
  <c r="G8" i="2"/>
  <c r="G8" i="4" s="1"/>
  <c r="G9" i="2"/>
  <c r="G9" i="4" s="1"/>
  <c r="G10" i="2"/>
  <c r="G10" i="4" s="1"/>
  <c r="G11" i="2"/>
  <c r="Q2" i="2"/>
  <c r="N2" i="2"/>
  <c r="N2" i="4" s="1"/>
  <c r="M2" i="2"/>
  <c r="L2" i="2"/>
  <c r="L2" i="4" s="1"/>
  <c r="K2" i="2"/>
  <c r="I2" i="2"/>
  <c r="I2" i="4" s="1"/>
  <c r="J2" i="2"/>
  <c r="G2" i="2"/>
  <c r="F2" i="2" s="1"/>
  <c r="F3" i="4" s="1"/>
  <c r="F3" i="2"/>
  <c r="F4" i="2"/>
  <c r="F5" i="2"/>
  <c r="F6" i="2"/>
  <c r="F7" i="2"/>
  <c r="F8" i="2"/>
  <c r="F9" i="2"/>
  <c r="F10" i="2"/>
  <c r="F11" i="2"/>
  <c r="E4" i="2"/>
  <c r="E5" i="2"/>
  <c r="E6" i="2"/>
  <c r="E6" i="4" s="1"/>
  <c r="E7" i="2"/>
  <c r="E7" i="4" s="1"/>
  <c r="E8" i="2"/>
  <c r="E8" i="4" s="1"/>
  <c r="E9" i="2"/>
  <c r="E9" i="4" s="1"/>
  <c r="E10" i="2"/>
  <c r="E10" i="4" s="1"/>
  <c r="E11" i="2"/>
  <c r="E11" i="4" s="1"/>
  <c r="R13" i="1"/>
  <c r="R5" i="2" s="1"/>
  <c r="P13" i="1"/>
  <c r="P3" i="2" s="1"/>
  <c r="O13" i="1"/>
  <c r="O9" i="2" s="1"/>
  <c r="J13" i="1"/>
  <c r="J9" i="2" s="1"/>
  <c r="H13" i="1"/>
  <c r="H2" i="2" s="1"/>
  <c r="G13" i="1"/>
  <c r="F13" i="1"/>
  <c r="E13" i="1"/>
  <c r="E3" i="2" s="1"/>
  <c r="Q12" i="1"/>
  <c r="N12" i="1"/>
  <c r="M12" i="1"/>
  <c r="L12" i="1"/>
  <c r="K12" i="1"/>
  <c r="I12" i="1"/>
  <c r="D12" i="1"/>
  <c r="R8" i="2" l="1"/>
  <c r="R6" i="2"/>
  <c r="R3" i="2"/>
  <c r="R2" i="2"/>
  <c r="R11" i="2"/>
  <c r="R9" i="2"/>
  <c r="R7" i="2"/>
  <c r="R4" i="2"/>
  <c r="R10" i="2"/>
  <c r="P10" i="2"/>
  <c r="P9" i="2"/>
  <c r="P8" i="2"/>
  <c r="P2" i="2"/>
  <c r="P7" i="2"/>
  <c r="P6" i="2"/>
  <c r="P4" i="2"/>
  <c r="P11" i="2"/>
  <c r="P5" i="2"/>
  <c r="O7" i="2"/>
  <c r="O2" i="2"/>
  <c r="O5" i="2"/>
  <c r="O4" i="2"/>
  <c r="O11" i="2"/>
  <c r="O10" i="2"/>
  <c r="O3" i="2"/>
  <c r="O3" i="4" s="1"/>
  <c r="M2" i="4"/>
  <c r="M7" i="4"/>
  <c r="M6" i="4"/>
  <c r="M11" i="4"/>
  <c r="M10" i="4"/>
  <c r="M9" i="4"/>
  <c r="M5" i="4"/>
  <c r="M4" i="4"/>
  <c r="M8" i="4"/>
  <c r="M3" i="4"/>
  <c r="L11" i="4"/>
  <c r="L8" i="4"/>
  <c r="K11" i="4"/>
  <c r="K5" i="4"/>
  <c r="K10" i="4"/>
  <c r="K8" i="4"/>
  <c r="K7" i="4"/>
  <c r="K3" i="4"/>
  <c r="K9" i="4"/>
  <c r="K2" i="4"/>
  <c r="F11" i="5" s="1"/>
  <c r="K6" i="4"/>
  <c r="K12" i="5"/>
  <c r="L11" i="5"/>
  <c r="N11" i="5"/>
  <c r="K14" i="5"/>
  <c r="J5" i="2"/>
  <c r="J4" i="2"/>
  <c r="J8" i="2"/>
  <c r="J6" i="2"/>
  <c r="J3" i="2"/>
  <c r="J11" i="2"/>
  <c r="J11" i="4" s="1"/>
  <c r="J10" i="2"/>
  <c r="J10" i="4" s="1"/>
  <c r="I14" i="5"/>
  <c r="L9" i="5"/>
  <c r="M9" i="5"/>
  <c r="N9" i="5"/>
  <c r="I13" i="5"/>
  <c r="H11" i="2"/>
  <c r="H8" i="2"/>
  <c r="H10" i="2"/>
  <c r="H7" i="2"/>
  <c r="H6" i="2"/>
  <c r="H3" i="2"/>
  <c r="H9" i="2"/>
  <c r="H5" i="2"/>
  <c r="H4" i="2"/>
  <c r="H4" i="4" s="1"/>
  <c r="F11" i="4"/>
  <c r="F10" i="4"/>
  <c r="G4" i="4"/>
  <c r="G2" i="4"/>
  <c r="F7" i="5" s="1"/>
  <c r="G3" i="4"/>
  <c r="F2" i="4"/>
  <c r="F9" i="4"/>
  <c r="F5" i="4"/>
  <c r="G5" i="4"/>
  <c r="F6" i="4"/>
  <c r="F4" i="4"/>
  <c r="F8" i="4"/>
  <c r="F7" i="4"/>
  <c r="G6" i="5"/>
  <c r="K6" i="5"/>
  <c r="I6" i="5"/>
  <c r="L6" i="5"/>
  <c r="M6" i="5"/>
  <c r="F9" i="5"/>
  <c r="N6" i="5"/>
  <c r="F14" i="5"/>
  <c r="F13" i="5"/>
  <c r="E5" i="4"/>
  <c r="E4" i="4"/>
  <c r="E2" i="4"/>
  <c r="E3" i="4"/>
  <c r="B3" i="2"/>
  <c r="C7" i="2"/>
  <c r="C3" i="2"/>
  <c r="C6" i="2"/>
  <c r="C5" i="2"/>
  <c r="C8" i="2"/>
  <c r="C9" i="2"/>
  <c r="C2" i="2"/>
  <c r="C11" i="2"/>
  <c r="C10" i="2"/>
  <c r="C3" i="4"/>
  <c r="C9" i="4"/>
  <c r="C5" i="4"/>
  <c r="C6" i="4"/>
  <c r="C7" i="4"/>
  <c r="C4" i="4"/>
  <c r="C10" i="4"/>
  <c r="C8" i="4"/>
  <c r="C2" i="4"/>
  <c r="C11" i="4"/>
  <c r="D10" i="2"/>
  <c r="D9" i="2"/>
  <c r="D8" i="2"/>
  <c r="D6" i="2"/>
  <c r="D3" i="2"/>
  <c r="D11" i="2"/>
  <c r="B10" i="2"/>
  <c r="B9" i="2"/>
  <c r="B2" i="2"/>
  <c r="B11" i="2"/>
  <c r="B7" i="2"/>
  <c r="D2" i="2"/>
  <c r="D7" i="2"/>
  <c r="B8" i="2"/>
  <c r="D5" i="2"/>
  <c r="D4" i="2"/>
  <c r="B6" i="2"/>
  <c r="B5" i="2"/>
  <c r="B4" i="2"/>
  <c r="R7" i="4" l="1"/>
  <c r="R9" i="4"/>
  <c r="R11" i="4"/>
  <c r="R2" i="4"/>
  <c r="R3" i="4"/>
  <c r="R6" i="4"/>
  <c r="R4" i="4"/>
  <c r="R8" i="4"/>
  <c r="R10" i="4"/>
  <c r="R5" i="4"/>
  <c r="P7" i="4"/>
  <c r="Q7" i="4"/>
  <c r="Q2" i="4"/>
  <c r="P2" i="4"/>
  <c r="Q11" i="4"/>
  <c r="P11" i="4"/>
  <c r="P4" i="4"/>
  <c r="Q4" i="4"/>
  <c r="Q8" i="4"/>
  <c r="P8" i="4"/>
  <c r="P9" i="4"/>
  <c r="Q9" i="4"/>
  <c r="P10" i="4"/>
  <c r="Q10" i="4"/>
  <c r="Q6" i="4"/>
  <c r="P6" i="4"/>
  <c r="Q3" i="4"/>
  <c r="P5" i="4"/>
  <c r="Q5" i="4"/>
  <c r="P3" i="4"/>
  <c r="E16" i="5" s="1"/>
  <c r="O5" i="4"/>
  <c r="O11" i="4"/>
  <c r="O2" i="4"/>
  <c r="O7" i="4"/>
  <c r="O9" i="4"/>
  <c r="O6" i="4"/>
  <c r="O10" i="4"/>
  <c r="O4" i="4"/>
  <c r="O3" i="5" s="1"/>
  <c r="O8" i="4"/>
  <c r="M15" i="5"/>
  <c r="O13" i="5"/>
  <c r="N13" i="5"/>
  <c r="M18" i="5"/>
  <c r="M12" i="5"/>
  <c r="M14" i="5"/>
  <c r="R13" i="5"/>
  <c r="M11" i="5"/>
  <c r="K13" i="5"/>
  <c r="L13" i="5"/>
  <c r="L18" i="5"/>
  <c r="I12" i="5"/>
  <c r="L14" i="5"/>
  <c r="O12" i="5"/>
  <c r="R12" i="5"/>
  <c r="N12" i="5"/>
  <c r="F12" i="5"/>
  <c r="K9" i="5"/>
  <c r="I11" i="5"/>
  <c r="J6" i="4"/>
  <c r="J4" i="4"/>
  <c r="J5" i="4"/>
  <c r="J3" i="4"/>
  <c r="J8" i="4"/>
  <c r="J9" i="4"/>
  <c r="J2" i="4"/>
  <c r="J7" i="4"/>
  <c r="H10" i="4"/>
  <c r="H5" i="4"/>
  <c r="H8" i="4"/>
  <c r="H9" i="4"/>
  <c r="H6" i="4"/>
  <c r="H11" i="4"/>
  <c r="H3" i="4"/>
  <c r="H7" i="4"/>
  <c r="H2" i="4"/>
  <c r="H3" i="5" s="1"/>
  <c r="F18" i="5"/>
  <c r="R6" i="5"/>
  <c r="G10" i="5"/>
  <c r="G18" i="5"/>
  <c r="G15" i="5"/>
  <c r="I7" i="5"/>
  <c r="J7" i="5"/>
  <c r="K7" i="5"/>
  <c r="L7" i="5"/>
  <c r="M7" i="5"/>
  <c r="N7" i="5"/>
  <c r="G13" i="5"/>
  <c r="G11" i="5"/>
  <c r="R7" i="5"/>
  <c r="G14" i="5"/>
  <c r="G8" i="5"/>
  <c r="G9" i="5"/>
  <c r="G12" i="5"/>
  <c r="E12" i="5"/>
  <c r="E14" i="5"/>
  <c r="F5" i="5"/>
  <c r="E10" i="5"/>
  <c r="G5" i="5"/>
  <c r="I5" i="5"/>
  <c r="J5" i="5"/>
  <c r="K5" i="5"/>
  <c r="L5" i="5"/>
  <c r="M5" i="5"/>
  <c r="N5" i="5"/>
  <c r="R5" i="5"/>
  <c r="E6" i="5"/>
  <c r="E9" i="5"/>
  <c r="E13" i="5"/>
  <c r="E11" i="5"/>
  <c r="E18" i="5"/>
  <c r="E7" i="5"/>
  <c r="B4" i="4"/>
  <c r="D5" i="4"/>
  <c r="D4" i="4"/>
  <c r="C6" i="5"/>
  <c r="C18" i="5"/>
  <c r="E3" i="5"/>
  <c r="F3" i="5"/>
  <c r="G3" i="5"/>
  <c r="I3" i="5"/>
  <c r="C15" i="5"/>
  <c r="C11" i="5"/>
  <c r="C9" i="5"/>
  <c r="C7" i="5"/>
  <c r="J3" i="5"/>
  <c r="M3" i="5"/>
  <c r="K3" i="5"/>
  <c r="C13" i="5"/>
  <c r="N3" i="5"/>
  <c r="C5" i="5"/>
  <c r="C10" i="5"/>
  <c r="L3" i="5"/>
  <c r="R3" i="5"/>
  <c r="C14" i="5"/>
  <c r="C12" i="5"/>
  <c r="D2" i="4"/>
  <c r="B5" i="4"/>
  <c r="D7" i="4"/>
  <c r="D6" i="4"/>
  <c r="B8" i="4"/>
  <c r="B2" i="4"/>
  <c r="D11" i="4"/>
  <c r="D8" i="4"/>
  <c r="B6" i="4"/>
  <c r="B9" i="4"/>
  <c r="D9" i="4"/>
  <c r="B7" i="4"/>
  <c r="B10" i="4"/>
  <c r="D10" i="4"/>
  <c r="B11" i="4"/>
  <c r="D3" i="4"/>
  <c r="B3" i="4"/>
  <c r="C2" i="5" s="1"/>
  <c r="G16" i="5" l="1"/>
  <c r="P13" i="5"/>
  <c r="Q13" i="5"/>
  <c r="C16" i="5"/>
  <c r="Q7" i="5"/>
  <c r="Q5" i="5"/>
  <c r="P7" i="5"/>
  <c r="H7" i="5"/>
  <c r="C8" i="5"/>
  <c r="H5" i="5"/>
  <c r="E8" i="5"/>
  <c r="I18" i="5"/>
  <c r="R9" i="5"/>
  <c r="R11" i="5"/>
  <c r="N18" i="5"/>
  <c r="K18" i="5"/>
  <c r="R14" i="5"/>
  <c r="P5" i="5"/>
  <c r="M16" i="5"/>
  <c r="M17" i="5"/>
  <c r="L17" i="5"/>
  <c r="D17" i="5"/>
  <c r="Q3" i="5"/>
  <c r="Q16" i="5"/>
  <c r="R16" i="5"/>
  <c r="P18" i="5"/>
  <c r="P11" i="5"/>
  <c r="F16" i="5"/>
  <c r="P9" i="5"/>
  <c r="I16" i="5"/>
  <c r="P6" i="5"/>
  <c r="N16" i="5"/>
  <c r="K16" i="5"/>
  <c r="P14" i="5"/>
  <c r="L16" i="5"/>
  <c r="Q6" i="5"/>
  <c r="P3" i="5"/>
  <c r="C17" i="5"/>
  <c r="Q18" i="5"/>
  <c r="P17" i="5"/>
  <c r="R17" i="5"/>
  <c r="Q9" i="5"/>
  <c r="I17" i="5"/>
  <c r="F17" i="5"/>
  <c r="K17" i="5"/>
  <c r="Q11" i="5"/>
  <c r="N17" i="5"/>
  <c r="Q14" i="5"/>
  <c r="P12" i="5"/>
  <c r="Q12" i="5"/>
  <c r="E17" i="5"/>
  <c r="G17" i="5"/>
  <c r="E15" i="5"/>
  <c r="Q15" i="5"/>
  <c r="R15" i="5"/>
  <c r="P15" i="5"/>
  <c r="O17" i="5"/>
  <c r="O16" i="5"/>
  <c r="O18" i="5"/>
  <c r="O14" i="5"/>
  <c r="O9" i="5"/>
  <c r="K15" i="5"/>
  <c r="O11" i="5"/>
  <c r="I15" i="5"/>
  <c r="O6" i="5"/>
  <c r="N15" i="5"/>
  <c r="O5" i="5"/>
  <c r="O7" i="5"/>
  <c r="L15" i="5"/>
  <c r="F15" i="5"/>
  <c r="J14" i="5"/>
  <c r="J16" i="5"/>
  <c r="O10" i="5"/>
  <c r="J18" i="5"/>
  <c r="J17" i="5"/>
  <c r="K10" i="5"/>
  <c r="L10" i="5"/>
  <c r="M10" i="5"/>
  <c r="N10" i="5"/>
  <c r="P10" i="5"/>
  <c r="Q10" i="5"/>
  <c r="J13" i="5"/>
  <c r="R10" i="5"/>
  <c r="J11" i="5"/>
  <c r="J15" i="5"/>
  <c r="J12" i="5"/>
  <c r="F10" i="5"/>
  <c r="I10" i="5"/>
  <c r="J9" i="5"/>
  <c r="J6" i="5"/>
  <c r="H11" i="5"/>
  <c r="J8" i="5"/>
  <c r="H14" i="5"/>
  <c r="O8" i="5"/>
  <c r="H15" i="5"/>
  <c r="I8" i="5"/>
  <c r="K8" i="5"/>
  <c r="H17" i="5"/>
  <c r="L8" i="5"/>
  <c r="Q8" i="5"/>
  <c r="H16" i="5"/>
  <c r="M8" i="5"/>
  <c r="N8" i="5"/>
  <c r="R8" i="5"/>
  <c r="H12" i="5"/>
  <c r="H18" i="5"/>
  <c r="P8" i="5"/>
  <c r="H9" i="5"/>
  <c r="H13" i="5"/>
  <c r="H10" i="5"/>
  <c r="F8" i="5"/>
  <c r="H6" i="5"/>
  <c r="B18" i="5"/>
  <c r="B17" i="5"/>
  <c r="E2" i="5"/>
  <c r="B15" i="5"/>
  <c r="K2" i="5"/>
  <c r="L2" i="5"/>
  <c r="B13" i="5"/>
  <c r="F2" i="5"/>
  <c r="B5" i="5"/>
  <c r="B12" i="5"/>
  <c r="B11" i="5"/>
  <c r="B3" i="5"/>
  <c r="B9" i="5"/>
  <c r="B10" i="5"/>
  <c r="B6" i="5"/>
  <c r="B4" i="5"/>
  <c r="R2" i="5"/>
  <c r="C4" i="5"/>
  <c r="D10" i="5"/>
  <c r="E4" i="5"/>
  <c r="D15" i="5"/>
  <c r="D18" i="5"/>
  <c r="D11" i="5"/>
  <c r="P4" i="5"/>
  <c r="I2" i="5"/>
  <c r="N4" i="5"/>
  <c r="L4" i="5"/>
  <c r="K4" i="5"/>
  <c r="J2" i="5"/>
  <c r="D8" i="5"/>
  <c r="G4" i="5"/>
  <c r="B8" i="5"/>
  <c r="D7" i="5"/>
  <c r="D3" i="5"/>
  <c r="Q4" i="5"/>
  <c r="D16" i="5"/>
  <c r="O4" i="5"/>
  <c r="D14" i="5"/>
  <c r="M4" i="5"/>
  <c r="N2" i="5"/>
  <c r="M2" i="5"/>
  <c r="G2" i="5"/>
  <c r="D2" i="5"/>
  <c r="R4" i="5"/>
  <c r="P2" i="5"/>
  <c r="O2" i="5"/>
  <c r="D12" i="5"/>
  <c r="J4" i="5"/>
  <c r="I4" i="5"/>
  <c r="H2" i="5"/>
  <c r="F4" i="5"/>
  <c r="B7" i="5"/>
  <c r="D13" i="5"/>
  <c r="D9" i="5"/>
  <c r="D5" i="5"/>
  <c r="Q2" i="5"/>
  <c r="B16" i="5"/>
  <c r="B14" i="5"/>
  <c r="H4" i="5"/>
  <c r="D6" i="5"/>
</calcChain>
</file>

<file path=xl/sharedStrings.xml><?xml version="1.0" encoding="utf-8"?>
<sst xmlns="http://schemas.openxmlformats.org/spreadsheetml/2006/main" count="53" uniqueCount="31">
  <si>
    <r>
      <rPr>
        <b/>
        <sz val="11"/>
        <color rgb="FF1F1F1F"/>
        <rFont val="微软雅黑"/>
        <family val="2"/>
        <charset val="134"/>
      </rPr>
      <t>年份</t>
    </r>
    <r>
      <rPr>
        <b/>
        <sz val="11"/>
        <color rgb="FF1F1F1F"/>
        <rFont val="Arial"/>
        <family val="2"/>
      </rPr>
      <t xml:space="preserve"> \ SDG </t>
    </r>
    <r>
      <rPr>
        <b/>
        <sz val="11"/>
        <color rgb="FF1F1F1F"/>
        <rFont val="微软雅黑"/>
        <family val="2"/>
        <charset val="134"/>
      </rPr>
      <t>标签</t>
    </r>
    <phoneticPr fontId="1" type="noConversion"/>
  </si>
  <si>
    <t>2024 (9)</t>
    <phoneticPr fontId="1" type="noConversion"/>
  </si>
  <si>
    <t>2023 (8)</t>
    <phoneticPr fontId="1" type="noConversion"/>
  </si>
  <si>
    <t>2022 (7)</t>
    <phoneticPr fontId="1" type="noConversion"/>
  </si>
  <si>
    <t>2021 (6)</t>
    <phoneticPr fontId="1" type="noConversion"/>
  </si>
  <si>
    <t>2020 (5)</t>
    <phoneticPr fontId="1" type="noConversion"/>
  </si>
  <si>
    <t>2019 (4)</t>
    <phoneticPr fontId="1" type="noConversion"/>
  </si>
  <si>
    <t>2018 (3)</t>
    <phoneticPr fontId="1" type="noConversion"/>
  </si>
  <si>
    <t>2017 (2)</t>
    <phoneticPr fontId="1" type="noConversion"/>
  </si>
  <si>
    <t>2016 (1)</t>
    <phoneticPr fontId="1" type="noConversion"/>
  </si>
  <si>
    <t>2015 (0)</t>
    <phoneticPr fontId="1" type="noConversion"/>
  </si>
  <si>
    <t>MAX</t>
    <phoneticPr fontId="1" type="noConversion"/>
  </si>
  <si>
    <t>MIN</t>
    <phoneticPr fontId="1" type="noConversion"/>
  </si>
  <si>
    <t>R0</t>
    <phoneticPr fontId="1" type="noConversion"/>
  </si>
  <si>
    <t>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</si>
  <si>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</si>
  <si>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</si>
  <si>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</si>
  <si>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R5</t>
    <phoneticPr fontId="1" type="noConversion"/>
  </si>
  <si>
    <t>R6</t>
    <phoneticPr fontId="1" type="noConversion"/>
  </si>
  <si>
    <t>R7</t>
    <phoneticPr fontId="1" type="noConversion"/>
  </si>
  <si>
    <t>R8</t>
    <phoneticPr fontId="1" type="noConversion"/>
  </si>
  <si>
    <t>R9</t>
    <phoneticPr fontId="1" type="noConversion"/>
  </si>
  <si>
    <t>R10</t>
    <phoneticPr fontId="1" type="noConversion"/>
  </si>
  <si>
    <t>R11</t>
    <phoneticPr fontId="1" type="noConversion"/>
  </si>
  <si>
    <t>R12</t>
    <phoneticPr fontId="1" type="noConversion"/>
  </si>
  <si>
    <t>R13</t>
    <phoneticPr fontId="1" type="noConversion"/>
  </si>
  <si>
    <t>R14</t>
    <phoneticPr fontId="1" type="noConversion"/>
  </si>
  <si>
    <t>R15</t>
    <phoneticPr fontId="1" type="noConversion"/>
  </si>
  <si>
    <t>R16</t>
    <phoneticPr fontId="1" type="noConversion"/>
  </si>
  <si>
    <t>SDG (From\To)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</si>
</sst>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_);[Red]\(0.0000\)"/>
    <numFmt numFmtId="178" formatCode="0.0_);[Red]\(0.0\)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微软雅黑"/>
      <family val="2"/>
      <charset val="134"/>
    </font>
    <font>
      <b/>
      <sz val="11"/>
      <color rgb="FF1F1F1F"/>
      <name val="Arial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49" fontId="3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177" fontId="3" fillId="0" borderId="2" xfId="0" applyNumberFormat="1" applyFont="1" applyBorder="1" applyAlignment="1" applyProtection="1">
      <alignment horizontal="center" vertical="center" wrapText="1" readingOrder="1"/>
      <protection locked="0"/>
    </xf>
    <xf numFmtId="177" fontId="0" fillId="0" borderId="0" xfId="0" applyNumberFormat="1" applyProtection="1">
      <alignment vertical="center"/>
      <protection locked="0"/>
    </xf>
    <xf numFmtId="178" fontId="0" fillId="0" borderId="0" xfId="0" applyNumberFormat="1" applyProtection="1">
      <alignment vertical="center"/>
      <protection locked="0"/>
    </xf>
    <xf numFmtId="178" fontId="2" fillId="0" borderId="1" xfId="0" applyNumberFormat="1" applyFont="1" applyBorder="1" applyAlignment="1">
      <alignment vertical="center" wrapText="1" readingOrder="1"/>
    </xf>
    <xf numFmtId="178" fontId="2" fillId="0" borderId="2" xfId="0" applyNumberFormat="1" applyFont="1" applyBorder="1" applyAlignment="1">
      <alignment vertical="center" wrapText="1" readingOrder="1"/>
    </xf>
    <xf numFmtId="178" fontId="0" fillId="0" borderId="0" xfId="0" applyNumberFormat="1">
      <alignment vertical="center"/>
    </xf>
    <xf numFmtId="176" fontId="2" fillId="0" borderId="1" xfId="0" applyNumberFormat="1" applyFont="1" applyBorder="1" applyAlignment="1">
      <alignment vertical="center" wrapText="1" readingOrder="1"/>
    </xf>
    <xf numFmtId="176" fontId="0" fillId="0" borderId="0" xfId="0" applyNumberFormat="1">
      <alignment vertical="center"/>
    </xf>
    <xf numFmtId="0" fontId="6" fillId="0" borderId="0" xfId="0" applyFont="1">
      <alignment vertical="center"/>
    </xf>
    <xf numFmtId="177" fontId="6" fillId="0" borderId="0" xfId="0" applyNumberFormat="1" applyFont="1" applyProtection="1">
      <alignment vertical="center"/>
      <protection locked="0"/>
    </xf>
    <xf numFmtId="0" fontId="7" fillId="0" borderId="0" xfId="0" applyFont="1">
      <alignment vertical="center"/>
    </xf>
    <xf numFmtId="178" fontId="6" fillId="0" borderId="0" xfId="0" applyNumberFormat="1" applyFont="1" applyProtection="1">
      <alignment vertical="center"/>
      <protection locked="0"/>
    </xf>
    <xf numFmtId="178" fontId="7" fillId="0" borderId="0" xfId="0" applyNumberFormat="1" applyFont="1" applyProtection="1">
      <alignment vertical="center"/>
      <protection locked="0"/>
    </xf>
    <xf numFmtId="176" fontId="7" fillId="0" borderId="0" xfId="0" applyNumberFormat="1" applyFont="1" applyProtection="1">
      <alignment vertical="center"/>
      <protection locked="0"/>
    </xf>
    <xf numFmtId="178" fontId="7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D608-D6EB-473C-8D5D-D6C21B9571D1}">
  <dimension ref="A1:R13"/>
  <sheetViews>
    <sheetView zoomScaleNormal="100" workbookViewId="0">
      <selection activeCell="F20" sqref="F20"/>
    </sheetView>
  </sheetViews>
  <sheetFormatPr defaultRowHeight="14" x14ac:dyDescent="0.3"/>
  <cols>
    <col min="1" max="1" width="12.25" customWidth="1"/>
    <col min="2" max="2" width="10" customWidth="1"/>
    <col min="11" max="11" width="10.08203125" bestFit="1" customWidth="1"/>
    <col min="14" max="14" width="9.08203125" bestFit="1" customWidth="1"/>
  </cols>
  <sheetData>
    <row r="1" spans="1:18" ht="33.5" thickBot="1" x14ac:dyDescent="0.35">
      <c r="A1" s="2" t="s">
        <v>0</v>
      </c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</row>
    <row r="2" spans="1:18" ht="24" customHeight="1" thickBot="1" x14ac:dyDescent="0.35">
      <c r="A2" s="4" t="s">
        <v>10</v>
      </c>
      <c r="B2" s="1">
        <v>0.125</v>
      </c>
      <c r="C2" s="1">
        <v>7.6999999999999999E-2</v>
      </c>
      <c r="D2" s="1">
        <v>4.3700000000000003E-2</v>
      </c>
      <c r="E2" s="1">
        <v>0.53200000000000003</v>
      </c>
      <c r="F2" s="1">
        <v>0.31900000000000001</v>
      </c>
      <c r="G2" s="1">
        <v>0.67700000000000005</v>
      </c>
      <c r="H2" s="1">
        <v>0.156</v>
      </c>
      <c r="I2" s="1">
        <v>0.14199999999999999</v>
      </c>
      <c r="J2" s="1">
        <v>1.72E-2</v>
      </c>
      <c r="K2" s="1">
        <v>6480</v>
      </c>
      <c r="L2" s="1">
        <v>0.25</v>
      </c>
      <c r="M2" s="9">
        <v>100</v>
      </c>
      <c r="N2" s="9">
        <v>503.3</v>
      </c>
      <c r="O2" s="1">
        <v>0.66700000000000004</v>
      </c>
      <c r="P2" s="1">
        <v>0.313</v>
      </c>
      <c r="Q2" s="12">
        <v>5.92</v>
      </c>
      <c r="R2" s="9">
        <v>61.4</v>
      </c>
    </row>
    <row r="3" spans="1:18" ht="24" customHeight="1" thickBot="1" x14ac:dyDescent="0.35">
      <c r="A3" s="4" t="s">
        <v>9</v>
      </c>
      <c r="B3" s="1">
        <v>0.11700000000000001</v>
      </c>
      <c r="C3" s="1">
        <v>7.5999999999999998E-2</v>
      </c>
      <c r="D3" s="1">
        <v>4.24E-2</v>
      </c>
      <c r="E3" s="1">
        <v>0.54200000000000004</v>
      </c>
      <c r="F3" s="1">
        <v>0.32300000000000001</v>
      </c>
      <c r="G3" s="1">
        <v>0.68300000000000005</v>
      </c>
      <c r="H3" s="1">
        <v>0.158</v>
      </c>
      <c r="I3" s="1">
        <v>0.14299999999999999</v>
      </c>
      <c r="J3" s="1">
        <v>1.7299999999999999E-2</v>
      </c>
      <c r="K3" s="1">
        <v>8020</v>
      </c>
      <c r="L3" s="1">
        <v>0.246</v>
      </c>
      <c r="M3" s="9">
        <v>99.1</v>
      </c>
      <c r="N3" s="9">
        <v>460.5</v>
      </c>
      <c r="O3" s="1">
        <v>0.66300000000000003</v>
      </c>
      <c r="P3" s="1">
        <v>0.313</v>
      </c>
      <c r="Q3" s="12">
        <v>5.97</v>
      </c>
      <c r="R3" s="9">
        <v>69.5</v>
      </c>
    </row>
    <row r="4" spans="1:18" ht="24" customHeight="1" thickBot="1" x14ac:dyDescent="0.35">
      <c r="A4" s="4" t="s">
        <v>8</v>
      </c>
      <c r="B4" s="1">
        <v>0.111</v>
      </c>
      <c r="C4" s="1">
        <v>7.0999999999999994E-2</v>
      </c>
      <c r="D4" s="1">
        <v>4.1300000000000003E-2</v>
      </c>
      <c r="E4" s="1">
        <v>0.55000000000000004</v>
      </c>
      <c r="F4" s="1">
        <v>0.32700000000000001</v>
      </c>
      <c r="G4" s="1">
        <v>0.68899999999999995</v>
      </c>
      <c r="H4" s="1">
        <v>0.16</v>
      </c>
      <c r="I4" s="1">
        <v>0.14399999999999999</v>
      </c>
      <c r="J4" s="1">
        <v>1.7500000000000002E-2</v>
      </c>
      <c r="K4" s="1">
        <v>6900</v>
      </c>
      <c r="L4" s="1">
        <v>0.245</v>
      </c>
      <c r="M4" s="9">
        <v>98.7</v>
      </c>
      <c r="N4" s="9">
        <v>545.20000000000005</v>
      </c>
      <c r="O4" s="1">
        <v>0.65900000000000003</v>
      </c>
      <c r="P4" s="1">
        <v>0.313</v>
      </c>
      <c r="Q4" s="12">
        <v>5.9</v>
      </c>
      <c r="R4" s="9">
        <v>77.599999999999994</v>
      </c>
    </row>
    <row r="5" spans="1:18" ht="24" customHeight="1" thickBot="1" x14ac:dyDescent="0.35">
      <c r="A5" s="4" t="s">
        <v>7</v>
      </c>
      <c r="B5" s="1">
        <v>0.112</v>
      </c>
      <c r="C5" s="1">
        <v>7.2999999999999995E-2</v>
      </c>
      <c r="D5" s="1">
        <v>4.02E-2</v>
      </c>
      <c r="E5" s="1">
        <v>0.55800000000000005</v>
      </c>
      <c r="F5" s="1">
        <v>0.33100000000000002</v>
      </c>
      <c r="G5" s="1">
        <v>0.69399999999999995</v>
      </c>
      <c r="H5" s="1">
        <v>0.16300000000000001</v>
      </c>
      <c r="I5" s="1">
        <v>0.14099999999999999</v>
      </c>
      <c r="J5" s="1">
        <v>1.78E-2</v>
      </c>
      <c r="K5" s="1">
        <v>4800</v>
      </c>
      <c r="L5" s="1">
        <v>0.24399999999999999</v>
      </c>
      <c r="M5" s="9">
        <v>104</v>
      </c>
      <c r="N5" s="9">
        <v>630.5</v>
      </c>
      <c r="O5" s="1">
        <v>0.65200000000000002</v>
      </c>
      <c r="P5" s="1">
        <v>0.312</v>
      </c>
      <c r="Q5" s="12">
        <v>5.65</v>
      </c>
      <c r="R5" s="9">
        <v>85.7</v>
      </c>
    </row>
    <row r="6" spans="1:18" ht="24" customHeight="1" thickBot="1" x14ac:dyDescent="0.35">
      <c r="A6" s="4" t="s">
        <v>6</v>
      </c>
      <c r="B6" s="1">
        <v>0.112</v>
      </c>
      <c r="C6" s="1">
        <v>7.4999999999999997E-2</v>
      </c>
      <c r="D6" s="1">
        <v>3.95E-2</v>
      </c>
      <c r="E6" s="1">
        <v>0.56499999999999995</v>
      </c>
      <c r="F6" s="1">
        <v>0.33500000000000002</v>
      </c>
      <c r="G6" s="1">
        <v>0.7</v>
      </c>
      <c r="H6" s="1">
        <v>0.16600000000000001</v>
      </c>
      <c r="I6" s="1">
        <v>0.13700000000000001</v>
      </c>
      <c r="J6" s="1">
        <v>1.83E-2</v>
      </c>
      <c r="K6" s="1">
        <v>5290</v>
      </c>
      <c r="L6" s="1">
        <v>0.24199999999999999</v>
      </c>
      <c r="M6" s="9">
        <v>102</v>
      </c>
      <c r="N6" s="9">
        <v>501.7</v>
      </c>
      <c r="O6" s="1">
        <v>0.64600000000000002</v>
      </c>
      <c r="P6" s="1">
        <v>0.312</v>
      </c>
      <c r="Q6" s="12">
        <v>5.4</v>
      </c>
      <c r="R6" s="9">
        <v>93.8</v>
      </c>
    </row>
    <row r="7" spans="1:18" ht="24" customHeight="1" thickBot="1" x14ac:dyDescent="0.35">
      <c r="A7" s="4" t="s">
        <v>5</v>
      </c>
      <c r="B7" s="1">
        <v>0.11</v>
      </c>
      <c r="C7" s="1">
        <v>8.5000000000000006E-2</v>
      </c>
      <c r="D7" s="1">
        <v>3.8699999999999998E-2</v>
      </c>
      <c r="E7" s="1">
        <v>0.57199999999999995</v>
      </c>
      <c r="F7" s="1">
        <v>0.33900000000000002</v>
      </c>
      <c r="G7" s="1">
        <v>0.70499999999999996</v>
      </c>
      <c r="H7" s="1">
        <v>0.17899999999999999</v>
      </c>
      <c r="I7" s="1">
        <v>0.155</v>
      </c>
      <c r="J7" s="1">
        <v>1.9400000000000001E-2</v>
      </c>
      <c r="K7" s="1">
        <v>4410</v>
      </c>
      <c r="L7" s="1">
        <v>0.24199999999999999</v>
      </c>
      <c r="M7" s="9">
        <v>110</v>
      </c>
      <c r="N7" s="9">
        <v>372.9</v>
      </c>
      <c r="O7" s="1">
        <v>0.63500000000000001</v>
      </c>
      <c r="P7" s="1">
        <v>0.312</v>
      </c>
      <c r="Q7" s="12">
        <v>5.29</v>
      </c>
      <c r="R7" s="9">
        <v>105</v>
      </c>
    </row>
    <row r="8" spans="1:18" ht="24" customHeight="1" thickBot="1" x14ac:dyDescent="0.35">
      <c r="A8" s="4" t="s">
        <v>4</v>
      </c>
      <c r="B8" s="1">
        <v>0.105</v>
      </c>
      <c r="C8" s="1">
        <v>8.7999999999999995E-2</v>
      </c>
      <c r="D8" s="1">
        <v>3.8199999999999998E-2</v>
      </c>
      <c r="E8" s="1">
        <v>0.57899999999999996</v>
      </c>
      <c r="F8" s="1">
        <v>0.33900000000000002</v>
      </c>
      <c r="G8" s="1">
        <v>0.71099999999999997</v>
      </c>
      <c r="H8" s="1">
        <v>0.17599999999999999</v>
      </c>
      <c r="I8" s="1">
        <v>0.14199999999999999</v>
      </c>
      <c r="J8" s="1">
        <v>1.9199999999999998E-2</v>
      </c>
      <c r="K8" s="1">
        <v>5780</v>
      </c>
      <c r="L8" s="1">
        <v>0.247</v>
      </c>
      <c r="M8" s="9">
        <v>102</v>
      </c>
      <c r="N8" s="10">
        <v>755.4</v>
      </c>
      <c r="O8" s="1">
        <v>0.64500000000000002</v>
      </c>
      <c r="P8" s="1">
        <v>0.312</v>
      </c>
      <c r="Q8" s="12">
        <v>5.51</v>
      </c>
      <c r="R8" s="9">
        <v>116</v>
      </c>
    </row>
    <row r="9" spans="1:18" ht="24" customHeight="1" thickBot="1" x14ac:dyDescent="0.35">
      <c r="A9" s="4" t="s">
        <v>3</v>
      </c>
      <c r="B9" s="1">
        <v>0.10199999999999999</v>
      </c>
      <c r="C9" s="1">
        <v>8.6999999999999994E-2</v>
      </c>
      <c r="D9" s="1">
        <v>3.8199999999999998E-2</v>
      </c>
      <c r="E9" s="1">
        <v>0.58199999999999996</v>
      </c>
      <c r="F9" s="1">
        <v>0.34300000000000003</v>
      </c>
      <c r="G9" s="1">
        <v>0.71599999999999997</v>
      </c>
      <c r="H9" s="1">
        <v>0.17899999999999999</v>
      </c>
      <c r="I9" s="1">
        <v>0.13</v>
      </c>
      <c r="J9" s="1">
        <v>1.95E-2</v>
      </c>
      <c r="K9" s="1">
        <v>7140</v>
      </c>
      <c r="L9" s="1">
        <v>0.248</v>
      </c>
      <c r="M9" s="9">
        <v>101</v>
      </c>
      <c r="N9" s="9">
        <v>1529.2</v>
      </c>
      <c r="O9" s="1">
        <v>0.64100000000000001</v>
      </c>
      <c r="P9" s="1">
        <v>0.311</v>
      </c>
      <c r="Q9" s="12">
        <v>5.29</v>
      </c>
      <c r="R9" s="9">
        <v>121</v>
      </c>
    </row>
    <row r="10" spans="1:18" ht="24" customHeight="1" thickBot="1" x14ac:dyDescent="0.35">
      <c r="A10" s="4" t="s">
        <v>2</v>
      </c>
      <c r="B10" s="1">
        <v>9.9000000000000005E-2</v>
      </c>
      <c r="C10" s="1">
        <v>8.5000000000000006E-2</v>
      </c>
      <c r="D10" s="1">
        <v>3.6700000000000003E-2</v>
      </c>
      <c r="E10" s="1">
        <v>0.59</v>
      </c>
      <c r="F10" s="1">
        <v>0.35499999999999998</v>
      </c>
      <c r="G10" s="1">
        <v>0.72099999999999997</v>
      </c>
      <c r="H10" s="1">
        <v>0.17699999999999999</v>
      </c>
      <c r="I10" s="1">
        <v>0.125</v>
      </c>
      <c r="J10" s="1">
        <v>1.9800000000000002E-2</v>
      </c>
      <c r="K10" s="1">
        <v>7920</v>
      </c>
      <c r="L10" s="1">
        <v>0.251</v>
      </c>
      <c r="M10" s="9">
        <v>110</v>
      </c>
      <c r="N10" s="9">
        <v>1146.9000000000001</v>
      </c>
      <c r="O10" s="1">
        <v>0.63700000000000001</v>
      </c>
      <c r="P10" s="1">
        <v>0.311</v>
      </c>
      <c r="Q10" s="12">
        <v>5.3</v>
      </c>
      <c r="R10" s="9">
        <v>127</v>
      </c>
    </row>
    <row r="11" spans="1:18" ht="24" customHeight="1" thickBot="1" x14ac:dyDescent="0.35">
      <c r="A11" s="4" t="s">
        <v>1</v>
      </c>
      <c r="B11" s="1">
        <v>9.6000000000000002E-2</v>
      </c>
      <c r="C11" s="1">
        <v>8.2000000000000003E-2</v>
      </c>
      <c r="D11" s="1">
        <v>3.6499999999999998E-2</v>
      </c>
      <c r="E11" s="1">
        <v>0.59599999999999997</v>
      </c>
      <c r="F11" s="1">
        <v>0.35499999999999998</v>
      </c>
      <c r="G11" s="1">
        <v>0.73699999999999999</v>
      </c>
      <c r="H11" s="1">
        <v>0.183</v>
      </c>
      <c r="I11" s="1">
        <v>0.126</v>
      </c>
      <c r="J11" s="1">
        <v>2.0199999999999999E-2</v>
      </c>
      <c r="K11" s="1">
        <v>9100</v>
      </c>
      <c r="L11" s="1">
        <v>0.255</v>
      </c>
      <c r="M11" s="9">
        <v>114.3</v>
      </c>
      <c r="N11" s="9">
        <v>860.2</v>
      </c>
      <c r="O11" s="1">
        <v>0.63300000000000001</v>
      </c>
      <c r="P11" s="1">
        <v>0.311</v>
      </c>
      <c r="Q11" s="12">
        <v>5.31</v>
      </c>
      <c r="R11" s="9">
        <v>134.4</v>
      </c>
    </row>
    <row r="12" spans="1:18" ht="20.5" customHeight="1" x14ac:dyDescent="0.3">
      <c r="A12" s="5" t="s">
        <v>11</v>
      </c>
      <c r="B12">
        <f t="shared" ref="B12:Q12" si="0">MAXA(B2:B11)</f>
        <v>0.125</v>
      </c>
      <c r="C12">
        <f t="shared" si="0"/>
        <v>8.7999999999999995E-2</v>
      </c>
      <c r="D12">
        <f t="shared" si="0"/>
        <v>4.3700000000000003E-2</v>
      </c>
      <c r="E12" s="14">
        <v>1</v>
      </c>
      <c r="F12" s="14">
        <v>0.5</v>
      </c>
      <c r="G12" s="14">
        <v>1</v>
      </c>
      <c r="H12" s="16">
        <v>0.2</v>
      </c>
      <c r="I12">
        <f t="shared" si="0"/>
        <v>0.155</v>
      </c>
      <c r="J12" s="16">
        <v>0.03</v>
      </c>
      <c r="K12">
        <f t="shared" si="0"/>
        <v>9100</v>
      </c>
      <c r="L12">
        <f t="shared" si="0"/>
        <v>0.255</v>
      </c>
      <c r="M12" s="11">
        <f t="shared" si="0"/>
        <v>114.3</v>
      </c>
      <c r="N12" s="11">
        <f t="shared" si="0"/>
        <v>1529.2</v>
      </c>
      <c r="O12" s="14">
        <v>1</v>
      </c>
      <c r="P12" s="16">
        <v>0.32</v>
      </c>
      <c r="Q12" s="13">
        <f t="shared" si="0"/>
        <v>5.97</v>
      </c>
      <c r="R12" s="20">
        <v>200</v>
      </c>
    </row>
    <row r="13" spans="1:18" s="7" customFormat="1" ht="20.5" customHeight="1" x14ac:dyDescent="0.3">
      <c r="A13" s="6" t="s">
        <v>12</v>
      </c>
      <c r="B13" s="15">
        <v>0</v>
      </c>
      <c r="C13" s="15">
        <v>0</v>
      </c>
      <c r="D13" s="15">
        <v>2.5000000000000001E-2</v>
      </c>
      <c r="E13" s="7">
        <f t="shared" ref="E13:R13" si="1">MIN(E2:E12)</f>
        <v>0.53200000000000003</v>
      </c>
      <c r="F13" s="7">
        <f t="shared" si="1"/>
        <v>0.31900000000000001</v>
      </c>
      <c r="G13" s="7">
        <f t="shared" si="1"/>
        <v>0.67700000000000005</v>
      </c>
      <c r="H13" s="7">
        <f t="shared" si="1"/>
        <v>0.156</v>
      </c>
      <c r="I13" s="15">
        <v>0.05</v>
      </c>
      <c r="J13" s="7">
        <f t="shared" si="1"/>
        <v>1.72E-2</v>
      </c>
      <c r="K13" s="17">
        <v>0</v>
      </c>
      <c r="L13" s="15">
        <v>0</v>
      </c>
      <c r="M13" s="18">
        <v>90</v>
      </c>
      <c r="N13" s="17">
        <v>0</v>
      </c>
      <c r="O13" s="7">
        <f t="shared" si="1"/>
        <v>0.63300000000000001</v>
      </c>
      <c r="P13" s="7">
        <f t="shared" si="1"/>
        <v>0.311</v>
      </c>
      <c r="Q13" s="19">
        <v>0.5</v>
      </c>
      <c r="R13" s="8">
        <f t="shared" si="1"/>
        <v>61.4</v>
      </c>
    </row>
  </sheetData>
  <phoneticPr fontId="1" type="noConversion"/>
  <pageMargins left="0.7" right="0.7" top="0.75" bottom="0.75" header="0.3" footer="0.3"/>
  <ignoredErrors>
    <ignoredError sqref="B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5432-8D62-4B70-B2C9-E7AA578696AF}">
  <dimension ref="A1:R13"/>
  <sheetViews>
    <sheetView zoomScale="85" zoomScaleNormal="85" workbookViewId="0">
      <selection activeCell="B1" sqref="B1:R1"/>
    </sheetView>
  </sheetViews>
  <sheetFormatPr defaultRowHeight="14" x14ac:dyDescent="0.3"/>
  <cols>
    <col min="1" max="1" width="12.25" customWidth="1"/>
    <col min="2" max="18" width="10" customWidth="1"/>
  </cols>
  <sheetData>
    <row r="1" spans="1:18" ht="33.5" thickBot="1" x14ac:dyDescent="0.35">
      <c r="A1" s="2" t="s">
        <v>0</v>
      </c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</row>
    <row r="2" spans="1:18" ht="24" customHeight="1" thickBot="1" x14ac:dyDescent="0.35">
      <c r="A2" s="4" t="s">
        <v>10</v>
      </c>
      <c r="B2" s="1">
        <f>(RawData!B$12 - RawData!B2) / (RawData!B$12 - RawData!B$13) * 100</f>
        <v>0</v>
      </c>
      <c r="C2" s="1">
        <f>(RawData!C$12 - RawData!C2) / (RawData!C$12 - RawData!C$13) * 100</f>
        <v>12.499999999999996</v>
      </c>
      <c r="D2" s="1">
        <f>(RawData!B$12 - RawData!B2) / (RawData!B$12 - RawData!B$13) * 100</f>
        <v>0</v>
      </c>
      <c r="E2" s="1">
        <v>0</v>
      </c>
      <c r="F2" s="1">
        <f>G2</f>
        <v>0</v>
      </c>
      <c r="G2" s="1">
        <f>(RawData!G2 - RawData!G$13) / (RawData!G$12 - RawData!G$13) * 100</f>
        <v>0</v>
      </c>
      <c r="H2" s="1">
        <f>(RawData!H2 - RawData!H$13) / (RawData!H$12 - RawData!H$13) * 100</f>
        <v>0</v>
      </c>
      <c r="I2" s="1">
        <f>(RawData!I$12 - RawData!I2) / (RawData!I$12 - RawData!I$13) * 100</f>
        <v>12.380952380952392</v>
      </c>
      <c r="J2" s="1">
        <f>(RawData!J2 - RawData!J$13) / (RawData!J$12 - RawData!J$13) * 100</f>
        <v>0</v>
      </c>
      <c r="K2" s="1">
        <f>(RawData!K$12 - RawData!K2) / (RawData!K$12 - RawData!K$13) * 100</f>
        <v>28.791208791208788</v>
      </c>
      <c r="L2" s="1">
        <f>(RawData!L$12 - RawData!L2) / (RawData!L$12 - RawData!L$13) * 100</f>
        <v>1.9607843137254919</v>
      </c>
      <c r="M2" s="1">
        <f>(RawData!M$12 - RawData!M2) / (RawData!M$12 - RawData!M$13) * 100</f>
        <v>58.847736625514401</v>
      </c>
      <c r="N2" s="1">
        <f>(RawData!N$12 - RawData!N2) / (RawData!N$12 - RawData!N$13) * 100</f>
        <v>67.087365942976732</v>
      </c>
      <c r="O2" s="1">
        <f>(RawData!O2 - RawData!O$13) / (RawData!O$12 - RawData!O$13) * 100</f>
        <v>9.2643051771117246</v>
      </c>
      <c r="P2" s="1">
        <f>(RawData!P2 - RawData!P$13) / (RawData!P$12 - RawData!P$13) * 100</f>
        <v>22.222222222222221</v>
      </c>
      <c r="Q2" s="1">
        <f>(RawData!Q$12 - RawData!Q2) / (RawData!Q$12 - RawData!Q$13) * 100</f>
        <v>0.91407678244972246</v>
      </c>
      <c r="R2" s="1">
        <f>(RawData!R2 - RawData!R$13) / (RawData!R$12 - RawData!R$13) * 100</f>
        <v>0</v>
      </c>
    </row>
    <row r="3" spans="1:18" ht="24" customHeight="1" thickBot="1" x14ac:dyDescent="0.35">
      <c r="A3" s="4" t="s">
        <v>9</v>
      </c>
      <c r="B3" s="1">
        <f>(RawData!B$12 - RawData!B3) / (RawData!B$12 - RawData!B$13) * 100</f>
        <v>6.399999999999995</v>
      </c>
      <c r="C3" s="1">
        <f>(RawData!C$12 - RawData!C3) / (RawData!C$12 - RawData!C$13) * 100</f>
        <v>13.636363636363633</v>
      </c>
      <c r="D3" s="1">
        <f>(RawData!B$12 - RawData!B3) / (RawData!B$12 - RawData!B$13) * 100</f>
        <v>6.399999999999995</v>
      </c>
      <c r="E3" s="1">
        <f>(RawData!E3 - RawData!E$13) / (RawData!E$12 - RawData!E$13) * 100</f>
        <v>2.1367521367521389</v>
      </c>
      <c r="F3" s="1">
        <f>(RawData!F3 - RawData!F$13) / (RawData!F$12 - RawData!F$13) * 100</f>
        <v>2.2099447513812174</v>
      </c>
      <c r="G3" s="1">
        <f>(RawData!G3 - RawData!G$13) / (RawData!G$12 - RawData!G$13) * 100</f>
        <v>1.8575851393188874</v>
      </c>
      <c r="H3" s="1">
        <f>(RawData!H3 - RawData!H$13) / (RawData!H$12 - RawData!H$13) * 100</f>
        <v>4.5454545454545485</v>
      </c>
      <c r="I3" s="1">
        <f>(RawData!I$12 - RawData!I3) / (RawData!I$12 - RawData!I$13) * 100</f>
        <v>11.428571428571439</v>
      </c>
      <c r="J3" s="1">
        <f>(RawData!J3 - RawData!J$13) / (RawData!J$12 - RawData!J$13) * 100</f>
        <v>0.78124999999999534</v>
      </c>
      <c r="K3" s="1">
        <f>(RawData!K$12 - RawData!K3) / (RawData!K$12 - RawData!K$13) * 100</f>
        <v>11.868131868131867</v>
      </c>
      <c r="L3" s="1">
        <f>(RawData!L$12 - RawData!L3) / (RawData!L$12 - RawData!L$13) * 100</f>
        <v>3.5294117647058849</v>
      </c>
      <c r="M3" s="1">
        <f>(RawData!M$12 - RawData!M3) / (RawData!M$12 - RawData!M$13) * 100</f>
        <v>62.551440329218124</v>
      </c>
      <c r="N3" s="1">
        <f>(RawData!N$12 - RawData!N3) / (RawData!N$12 - RawData!N$13) * 100</f>
        <v>69.886215014386607</v>
      </c>
      <c r="O3" s="1">
        <f>(RawData!O3 - RawData!O$13) / (RawData!O$12 - RawData!O$13) * 100</f>
        <v>8.1743869209809326</v>
      </c>
      <c r="P3" s="1">
        <f>(RawData!P3 - RawData!P$13) / (RawData!P$12 - RawData!P$13) * 100</f>
        <v>22.222222222222221</v>
      </c>
      <c r="Q3" s="1">
        <f>(RawData!Q$12 - RawData!Q3) / (RawData!Q$12 - RawData!Q$13) * 100</f>
        <v>0</v>
      </c>
      <c r="R3" s="1">
        <f>(RawData!R3 - RawData!R$13) / (RawData!R$12 - RawData!R$13) * 100</f>
        <v>5.8441558441558454</v>
      </c>
    </row>
    <row r="4" spans="1:18" ht="24" customHeight="1" thickBot="1" x14ac:dyDescent="0.35">
      <c r="A4" s="4" t="s">
        <v>8</v>
      </c>
      <c r="B4" s="1">
        <f>(RawData!B$12 - RawData!B4) / (RawData!B$12 - RawData!B$13) * 100</f>
        <v>11.2</v>
      </c>
      <c r="C4" s="1">
        <f>(RawData!C$12 - RawData!C4) / (RawData!C$12 - RawData!C$13) * 100</f>
        <v>19.31818181818182</v>
      </c>
      <c r="D4" s="1">
        <f>(RawData!B$12 - RawData!B4) / (RawData!B$12 - RawData!B$13) * 100</f>
        <v>11.2</v>
      </c>
      <c r="E4" s="1">
        <f>(RawData!E4 - RawData!E$13) / (RawData!E$12 - RawData!E$13) * 100</f>
        <v>3.8461538461538498</v>
      </c>
      <c r="F4" s="1">
        <f>(RawData!F4 - RawData!F$13) / (RawData!F$12 - RawData!F$13) * 100</f>
        <v>4.4198895027624348</v>
      </c>
      <c r="G4" s="1">
        <f>(RawData!G4 - RawData!G$13) / (RawData!G$12 - RawData!G$13) * 100</f>
        <v>3.7151702786377401</v>
      </c>
      <c r="H4" s="1">
        <f>(RawData!H4 - RawData!H$13) / (RawData!H$12 - RawData!H$13) * 100</f>
        <v>9.090909090909097</v>
      </c>
      <c r="I4" s="1">
        <f>(RawData!I$12 - RawData!I4) / (RawData!I$12 - RawData!I$13) * 100</f>
        <v>10.476190476190487</v>
      </c>
      <c r="J4" s="1">
        <f>(RawData!J4 - RawData!J$13) / (RawData!J$12 - RawData!J$13) * 100</f>
        <v>2.3437500000000133</v>
      </c>
      <c r="K4" s="1">
        <f>(RawData!K$12 - RawData!K4) / (RawData!K$12 - RawData!K$13) * 100</f>
        <v>24.175824175824175</v>
      </c>
      <c r="L4" s="1">
        <f>(RawData!L$12 - RawData!L4) / (RawData!L$12 - RawData!L$13) * 100</f>
        <v>3.9215686274509838</v>
      </c>
      <c r="M4" s="1">
        <f>(RawData!M$12 - RawData!M4) / (RawData!M$12 - RawData!M$13) * 100</f>
        <v>64.197530864197518</v>
      </c>
      <c r="N4" s="1">
        <f>(RawData!N$12 - RawData!N4) / (RawData!N$12 - RawData!N$13) * 100</f>
        <v>64.347371174470311</v>
      </c>
      <c r="O4" s="1">
        <f>(RawData!O4 - RawData!O$13) / (RawData!O$12 - RawData!O$13) * 100</f>
        <v>7.0844686648501423</v>
      </c>
      <c r="P4" s="1">
        <f>(RawData!P4 - RawData!P$13) / (RawData!P$12 - RawData!P$13) * 100</f>
        <v>22.222222222222221</v>
      </c>
      <c r="Q4" s="1">
        <f>(RawData!Q$12 - RawData!Q4) / (RawData!Q$12 - RawData!Q$13) * 100</f>
        <v>1.279707495429605</v>
      </c>
      <c r="R4" s="1">
        <f>(RawData!R4 - RawData!R$13) / (RawData!R$12 - RawData!R$13) * 100</f>
        <v>11.688311688311686</v>
      </c>
    </row>
    <row r="5" spans="1:18" ht="24" customHeight="1" thickBot="1" x14ac:dyDescent="0.35">
      <c r="A5" s="4" t="s">
        <v>7</v>
      </c>
      <c r="B5" s="1">
        <f>(RawData!B$12 - RawData!B5) / (RawData!B$12 - RawData!B$13) * 100</f>
        <v>10.399999999999999</v>
      </c>
      <c r="C5" s="1">
        <f>(RawData!C$12 - RawData!C5) / (RawData!C$12 - RawData!C$13) * 100</f>
        <v>17.045454545454547</v>
      </c>
      <c r="D5" s="1">
        <f>(RawData!B$12 - RawData!B5) / (RawData!B$12 - RawData!B$13) * 100</f>
        <v>10.399999999999999</v>
      </c>
      <c r="E5" s="1">
        <f>(RawData!E5 - RawData!E$13) / (RawData!E$12 - RawData!E$13) * 100</f>
        <v>5.5555555555555607</v>
      </c>
      <c r="F5" s="1">
        <f>(RawData!F5 - RawData!F$13) / (RawData!F$12 - RawData!F$13) * 100</f>
        <v>6.6298342541436535</v>
      </c>
      <c r="G5" s="1">
        <f>(RawData!G5 - RawData!G$13) / (RawData!G$12 - RawData!G$13) * 100</f>
        <v>5.2631578947368132</v>
      </c>
      <c r="H5" s="1">
        <f>(RawData!H5 - RawData!H$13) / (RawData!H$12 - RawData!H$13) * 100</f>
        <v>15.909090909090921</v>
      </c>
      <c r="I5" s="1">
        <f>(RawData!I$12 - RawData!I5) / (RawData!I$12 - RawData!I$13) * 100</f>
        <v>13.333333333333346</v>
      </c>
      <c r="J5" s="1">
        <f>(RawData!J5 - RawData!J$13) / (RawData!J$12 - RawData!J$13) * 100</f>
        <v>4.6874999999999991</v>
      </c>
      <c r="K5" s="1">
        <f>(RawData!K$12 - RawData!K5) / (RawData!K$12 - RawData!K$13) * 100</f>
        <v>47.252747252747248</v>
      </c>
      <c r="L5" s="1">
        <f>(RawData!L$12 - RawData!L5) / (RawData!L$12 - RawData!L$13) * 100</f>
        <v>4.3137254901960818</v>
      </c>
      <c r="M5" s="1">
        <f>(RawData!M$12 - RawData!M5) / (RawData!M$12 - RawData!M$13) * 100</f>
        <v>42.386831275720162</v>
      </c>
      <c r="N5" s="1">
        <f>(RawData!N$12 - RawData!N5) / (RawData!N$12 - RawData!N$13) * 100</f>
        <v>58.769291132618363</v>
      </c>
      <c r="O5" s="1">
        <f>(RawData!O5 - RawData!O$13) / (RawData!O$12 - RawData!O$13) * 100</f>
        <v>5.1771117166212584</v>
      </c>
      <c r="P5" s="1">
        <f>(RawData!P5 - RawData!P$13) / (RawData!P$12 - RawData!P$13) * 100</f>
        <v>11.111111111111111</v>
      </c>
      <c r="Q5" s="1">
        <f>(RawData!Q$12 - RawData!Q5) / (RawData!Q$12 - RawData!Q$13) * 100</f>
        <v>5.8500914076782342</v>
      </c>
      <c r="R5" s="1">
        <f>(RawData!R5 - RawData!R$13) / (RawData!R$12 - RawData!R$13) * 100</f>
        <v>17.532467532467535</v>
      </c>
    </row>
    <row r="6" spans="1:18" ht="24" customHeight="1" thickBot="1" x14ac:dyDescent="0.35">
      <c r="A6" s="4" t="s">
        <v>6</v>
      </c>
      <c r="B6" s="1">
        <f>(RawData!B$12 - RawData!B6) / (RawData!B$12 - RawData!B$13) * 100</f>
        <v>10.399999999999999</v>
      </c>
      <c r="C6" s="1">
        <f>(RawData!C$12 - RawData!C6) / (RawData!C$12 - RawData!C$13) * 100</f>
        <v>14.77272727272727</v>
      </c>
      <c r="D6" s="1">
        <f>(RawData!B$12 - RawData!B6) / (RawData!B$12 - RawData!B$13) * 100</f>
        <v>10.399999999999999</v>
      </c>
      <c r="E6" s="1">
        <f>(RawData!E6 - RawData!E$13) / (RawData!E$12 - RawData!E$13) * 100</f>
        <v>7.0512820512820342</v>
      </c>
      <c r="F6" s="1">
        <f>(RawData!F6 - RawData!F$13) / (RawData!F$12 - RawData!F$13) * 100</f>
        <v>8.8397790055248695</v>
      </c>
      <c r="G6" s="1">
        <f>(RawData!G6 - RawData!G$13) / (RawData!G$12 - RawData!G$13) * 100</f>
        <v>7.1207430340557005</v>
      </c>
      <c r="H6" s="1">
        <f>(RawData!H6 - RawData!H$13) / (RawData!H$12 - RawData!H$13) * 100</f>
        <v>22.727272727272741</v>
      </c>
      <c r="I6" s="1">
        <f>(RawData!I$12 - RawData!I6) / (RawData!I$12 - RawData!I$13) * 100</f>
        <v>17.142857142857132</v>
      </c>
      <c r="J6" s="1">
        <f>(RawData!J6 - RawData!J$13) / (RawData!J$12 - RawData!J$13) * 100</f>
        <v>8.5937500000000036</v>
      </c>
      <c r="K6" s="1">
        <f>(RawData!K$12 - RawData!K6) / (RawData!K$12 - RawData!K$13) * 100</f>
        <v>41.868131868131869</v>
      </c>
      <c r="L6" s="1">
        <f>(RawData!L$12 - RawData!L6) / (RawData!L$12 - RawData!L$13) * 100</f>
        <v>5.0980392156862786</v>
      </c>
      <c r="M6" s="1">
        <f>(RawData!M$12 - RawData!M6) / (RawData!M$12 - RawData!M$13) * 100</f>
        <v>50.617283950617278</v>
      </c>
      <c r="N6" s="1">
        <f>(RawData!N$12 - RawData!N6) / (RawData!N$12 - RawData!N$13) * 100</f>
        <v>67.191995814805125</v>
      </c>
      <c r="O6" s="1">
        <f>(RawData!O6 - RawData!O$13) / (RawData!O$12 - RawData!O$13) * 100</f>
        <v>3.5422343324250711</v>
      </c>
      <c r="P6" s="1">
        <f>(RawData!P6 - RawData!P$13) / (RawData!P$12 - RawData!P$13) * 100</f>
        <v>11.111111111111111</v>
      </c>
      <c r="Q6" s="1">
        <f>(RawData!Q$12 - RawData!Q6) / (RawData!Q$12 - RawData!Q$13) * 100</f>
        <v>10.420475319926863</v>
      </c>
      <c r="R6" s="1">
        <f>(RawData!R6 - RawData!R$13) / (RawData!R$12 - RawData!R$13) * 100</f>
        <v>23.376623376623375</v>
      </c>
    </row>
    <row r="7" spans="1:18" ht="24" customHeight="1" thickBot="1" x14ac:dyDescent="0.35">
      <c r="A7" s="4" t="s">
        <v>5</v>
      </c>
      <c r="B7" s="1">
        <f>(RawData!B$12 - RawData!B7) / (RawData!B$12 - RawData!B$13) * 100</f>
        <v>12</v>
      </c>
      <c r="C7" s="1">
        <f>(RawData!C$12 - RawData!C7) / (RawData!C$12 - RawData!C$13) * 100</f>
        <v>3.4090909090908963</v>
      </c>
      <c r="D7" s="1">
        <f>(RawData!B$12 - RawData!B7) / (RawData!B$12 - RawData!B$13) * 100</f>
        <v>12</v>
      </c>
      <c r="E7" s="1">
        <f>(RawData!E7 - RawData!E$13) / (RawData!E$12 - RawData!E$13) * 100</f>
        <v>8.5470085470085326</v>
      </c>
      <c r="F7" s="1">
        <f>(RawData!F7 - RawData!F$13) / (RawData!F$12 - RawData!F$13) * 100</f>
        <v>11.049723756906088</v>
      </c>
      <c r="G7" s="1">
        <f>(RawData!G7 - RawData!G$13) / (RawData!G$12 - RawData!G$13) * 100</f>
        <v>8.6687306501547745</v>
      </c>
      <c r="H7" s="1">
        <f>(RawData!H7 - RawData!H$13) / (RawData!H$12 - RawData!H$13) * 100</f>
        <v>52.272727272727238</v>
      </c>
      <c r="I7" s="1">
        <f>(RawData!I$12 - RawData!I7) / (RawData!I$12 - RawData!I$13) * 100</f>
        <v>0</v>
      </c>
      <c r="J7" s="1">
        <f>(RawData!J7 - RawData!J$13) / (RawData!J$12 - RawData!J$13) * 100</f>
        <v>17.187500000000007</v>
      </c>
      <c r="K7" s="1">
        <f>(RawData!K$12 - RawData!K7) / (RawData!K$12 - RawData!K$13) * 100</f>
        <v>51.538461538461533</v>
      </c>
      <c r="L7" s="1">
        <f>(RawData!L$12 - RawData!L7) / (RawData!L$12 - RawData!L$13) * 100</f>
        <v>5.0980392156862786</v>
      </c>
      <c r="M7" s="1">
        <f>(RawData!M$12 - RawData!M7) / (RawData!M$12 - RawData!M$13) * 100</f>
        <v>17.695473251028798</v>
      </c>
      <c r="N7" s="1">
        <f>(RawData!N$12 - RawData!N7) / (RawData!N$12 - RawData!N$13) * 100</f>
        <v>75.614700496991901</v>
      </c>
      <c r="O7" s="1">
        <f>(RawData!O7 - RawData!O$13) / (RawData!O$12 - RawData!O$13) * 100</f>
        <v>0.54495912806539559</v>
      </c>
      <c r="P7" s="1">
        <f>(RawData!P7 - RawData!P$13) / (RawData!P$12 - RawData!P$13) * 100</f>
        <v>11.111111111111111</v>
      </c>
      <c r="Q7" s="1">
        <f>(RawData!Q$12 - RawData!Q7) / (RawData!Q$12 - RawData!Q$13) * 100</f>
        <v>12.431444241316266</v>
      </c>
      <c r="R7" s="1">
        <f>(RawData!R7 - RawData!R$13) / (RawData!R$12 - RawData!R$13) * 100</f>
        <v>31.457431457431461</v>
      </c>
    </row>
    <row r="8" spans="1:18" ht="24" customHeight="1" thickBot="1" x14ac:dyDescent="0.35">
      <c r="A8" s="4" t="s">
        <v>4</v>
      </c>
      <c r="B8" s="1">
        <f>(RawData!B$12 - RawData!B8) / (RawData!B$12 - RawData!B$13) * 100</f>
        <v>16.000000000000004</v>
      </c>
      <c r="C8" s="1">
        <f>(RawData!C$12 - RawData!C8) / (RawData!C$12 - RawData!C$13) * 100</f>
        <v>0</v>
      </c>
      <c r="D8" s="1">
        <f>(RawData!B$12 - RawData!B8) / (RawData!B$12 - RawData!B$13) * 100</f>
        <v>16.000000000000004</v>
      </c>
      <c r="E8" s="1">
        <f>(RawData!E8 - RawData!E$13) / (RawData!E$12 - RawData!E$13) * 100</f>
        <v>10.042735042735028</v>
      </c>
      <c r="F8" s="1">
        <f>(RawData!F8 - RawData!F$13) / (RawData!F$12 - RawData!F$13) * 100</f>
        <v>11.049723756906088</v>
      </c>
      <c r="G8" s="1">
        <f>(RawData!G8 - RawData!G$13) / (RawData!G$12 - RawData!G$13) * 100</f>
        <v>10.52631578947366</v>
      </c>
      <c r="H8" s="1">
        <f>(RawData!H8 - RawData!H$13) / (RawData!H$12 - RawData!H$13) * 100</f>
        <v>45.454545454545418</v>
      </c>
      <c r="I8" s="1">
        <f>(RawData!I$12 - RawData!I8) / (RawData!I$12 - RawData!I$13) * 100</f>
        <v>12.380952380952392</v>
      </c>
      <c r="J8" s="1">
        <f>(RawData!J8 - RawData!J$13) / (RawData!J$12 - RawData!J$13) * 100</f>
        <v>15.624999999999989</v>
      </c>
      <c r="K8" s="1">
        <f>(RawData!K$12 - RawData!K8) / (RawData!K$12 - RawData!K$13) * 100</f>
        <v>36.483516483516482</v>
      </c>
      <c r="L8" s="1">
        <f>(RawData!L$12 - RawData!L8) / (RawData!L$12 - RawData!L$13) * 100</f>
        <v>3.1372549019607869</v>
      </c>
      <c r="M8" s="1">
        <f>(RawData!M$12 - RawData!M8) / (RawData!M$12 - RawData!M$13) * 100</f>
        <v>50.617283950617278</v>
      </c>
      <c r="N8" s="1">
        <f>(RawData!N$12 - RawData!N8) / (RawData!N$12 - RawData!N$13) * 100</f>
        <v>50.601621763013341</v>
      </c>
      <c r="O8" s="1">
        <f>(RawData!O8 - RawData!O$13) / (RawData!O$12 - RawData!O$13) * 100</f>
        <v>3.2697547683923736</v>
      </c>
      <c r="P8" s="1">
        <f>(RawData!P8 - RawData!P$13) / (RawData!P$12 - RawData!P$13) * 100</f>
        <v>11.111111111111111</v>
      </c>
      <c r="Q8" s="1">
        <f>(RawData!Q$12 - RawData!Q8) / (RawData!Q$12 - RawData!Q$13) * 100</f>
        <v>8.4095063985374772</v>
      </c>
      <c r="R8" s="1">
        <f>(RawData!R8 - RawData!R$13) / (RawData!R$12 - RawData!R$13) * 100</f>
        <v>39.393939393939398</v>
      </c>
    </row>
    <row r="9" spans="1:18" ht="24" customHeight="1" thickBot="1" x14ac:dyDescent="0.35">
      <c r="A9" s="4" t="s">
        <v>3</v>
      </c>
      <c r="B9" s="1">
        <f>(RawData!B$12 - RawData!B9) / (RawData!B$12 - RawData!B$13) * 100</f>
        <v>18.400000000000006</v>
      </c>
      <c r="C9" s="1">
        <f>(RawData!C$12 - RawData!C9) / (RawData!C$12 - RawData!C$13) * 100</f>
        <v>1.1363636363636374</v>
      </c>
      <c r="D9" s="1">
        <f>(RawData!B$12 - RawData!B9) / (RawData!B$12 - RawData!B$13) * 100</f>
        <v>18.400000000000006</v>
      </c>
      <c r="E9" s="1">
        <f>(RawData!E9 - RawData!E$13) / (RawData!E$12 - RawData!E$13) * 100</f>
        <v>10.683760683760671</v>
      </c>
      <c r="F9" s="1">
        <f>(RawData!F9 - RawData!F$13) / (RawData!F$12 - RawData!F$13) * 100</f>
        <v>13.259668508287307</v>
      </c>
      <c r="G9" s="1">
        <f>(RawData!G9 - RawData!G$13) / (RawData!G$12 - RawData!G$13) * 100</f>
        <v>12.074303405572733</v>
      </c>
      <c r="H9" s="1">
        <f>(RawData!H9 - RawData!H$13) / (RawData!H$12 - RawData!H$13) * 100</f>
        <v>52.272727272727238</v>
      </c>
      <c r="I9" s="1">
        <f>(RawData!I$12 - RawData!I9) / (RawData!I$12 - RawData!I$13) * 100</f>
        <v>23.809523809523807</v>
      </c>
      <c r="J9" s="1">
        <f>(RawData!J9 - RawData!J$13) / (RawData!J$12 - RawData!J$13) * 100</f>
        <v>17.96875</v>
      </c>
      <c r="K9" s="1">
        <f>(RawData!K$12 - RawData!K9) / (RawData!K$12 - RawData!K$13) * 100</f>
        <v>21.53846153846154</v>
      </c>
      <c r="L9" s="1">
        <f>(RawData!L$12 - RawData!L9) / (RawData!L$12 - RawData!L$13) * 100</f>
        <v>2.7450980392156885</v>
      </c>
      <c r="M9" s="1">
        <f>(RawData!M$12 - RawData!M9) / (RawData!M$12 - RawData!M$13) * 100</f>
        <v>54.732510288065839</v>
      </c>
      <c r="N9" s="1">
        <f>(RawData!N$12 - RawData!N9) / (RawData!N$12 - RawData!N$13) * 100</f>
        <v>0</v>
      </c>
      <c r="O9" s="1">
        <f>(RawData!O9 - RawData!O$13) / (RawData!O$12 - RawData!O$13) * 100</f>
        <v>2.1798365122615824</v>
      </c>
      <c r="P9" s="1">
        <f>(RawData!P9 - RawData!P$13) / (RawData!P$12 - RawData!P$13) * 100</f>
        <v>0</v>
      </c>
      <c r="Q9" s="1">
        <f>(RawData!Q$12 - RawData!Q9) / (RawData!Q$12 - RawData!Q$13) * 100</f>
        <v>12.431444241316266</v>
      </c>
      <c r="R9" s="1">
        <f>(RawData!R9 - RawData!R$13) / (RawData!R$12 - RawData!R$13) * 100</f>
        <v>43.001443001443</v>
      </c>
    </row>
    <row r="10" spans="1:18" ht="24" customHeight="1" thickBot="1" x14ac:dyDescent="0.35">
      <c r="A10" s="4" t="s">
        <v>2</v>
      </c>
      <c r="B10" s="1">
        <f>(RawData!B$12 - RawData!B10) / (RawData!B$12 - RawData!B$13) * 100</f>
        <v>20.799999999999997</v>
      </c>
      <c r="C10" s="1">
        <f>(RawData!C$12 - RawData!C10) / (RawData!C$12 - RawData!C$13) * 100</f>
        <v>3.4090909090908963</v>
      </c>
      <c r="D10" s="1">
        <f>(RawData!B$12 - RawData!B10) / (RawData!B$12 - RawData!B$13) * 100</f>
        <v>20.799999999999997</v>
      </c>
      <c r="E10" s="1">
        <f>(RawData!E10 - RawData!E$13) / (RawData!E$12 - RawData!E$13) * 100</f>
        <v>12.393162393162381</v>
      </c>
      <c r="F10" s="1">
        <f>(RawData!F10 - RawData!F$13) / (RawData!F$12 - RawData!F$13) * 100</f>
        <v>19.889502762430926</v>
      </c>
      <c r="G10" s="1">
        <f>(RawData!G10 - RawData!G$13) / (RawData!G$12 - RawData!G$13) * 100</f>
        <v>13.622291021671806</v>
      </c>
      <c r="H10" s="1">
        <f>(RawData!H10 - RawData!H$13) / (RawData!H$12 - RawData!H$13) * 100</f>
        <v>47.727272727272698</v>
      </c>
      <c r="I10" s="1">
        <f>(RawData!I$12 - RawData!I10) / (RawData!I$12 - RawData!I$13) * 100</f>
        <v>28.571428571428569</v>
      </c>
      <c r="J10" s="1">
        <f>(RawData!J10 - RawData!J$13) / (RawData!J$12 - RawData!J$13) * 100</f>
        <v>20.312500000000014</v>
      </c>
      <c r="K10" s="1">
        <f>(RawData!K$12 - RawData!K10) / (RawData!K$12 - RawData!K$13) * 100</f>
        <v>12.967032967032969</v>
      </c>
      <c r="L10" s="1">
        <f>(RawData!L$12 - RawData!L10) / (RawData!L$12 - RawData!L$13) * 100</f>
        <v>1.5686274509803935</v>
      </c>
      <c r="M10" s="1">
        <f>(RawData!M$12 - RawData!M10) / (RawData!M$12 - RawData!M$13) * 100</f>
        <v>17.695473251028798</v>
      </c>
      <c r="N10" s="1">
        <f>(RawData!N$12 - RawData!N10) / (RawData!N$12 - RawData!N$13) * 100</f>
        <v>24.999999999999996</v>
      </c>
      <c r="O10" s="1">
        <f>(RawData!O10 - RawData!O$13) / (RawData!O$12 - RawData!O$13) * 100</f>
        <v>1.0899182561307912</v>
      </c>
      <c r="P10" s="1">
        <f>(RawData!P10 - RawData!P$13) / (RawData!P$12 - RawData!P$13) * 100</f>
        <v>0</v>
      </c>
      <c r="Q10" s="1">
        <f>(RawData!Q$12 - RawData!Q10) / (RawData!Q$12 - RawData!Q$13) * 100</f>
        <v>12.248628884826324</v>
      </c>
      <c r="R10" s="1">
        <f>(RawData!R10 - RawData!R$13) / (RawData!R$12 - RawData!R$13) * 100</f>
        <v>47.330447330447328</v>
      </c>
    </row>
    <row r="11" spans="1:18" ht="24" customHeight="1" thickBot="1" x14ac:dyDescent="0.35">
      <c r="A11" s="4" t="s">
        <v>1</v>
      </c>
      <c r="B11" s="1">
        <f>(RawData!B$12 - RawData!B11) / (RawData!B$12 - RawData!B$13) * 100</f>
        <v>23.2</v>
      </c>
      <c r="C11" s="1">
        <f>(RawData!C$12 - RawData!C11) / (RawData!C$12 - RawData!C$13) * 100</f>
        <v>6.8181818181818095</v>
      </c>
      <c r="D11" s="1">
        <f>(RawData!B$12 - RawData!B11) / (RawData!B$12 - RawData!B$13) * 100</f>
        <v>23.2</v>
      </c>
      <c r="E11" s="1">
        <f>(RawData!E11 - RawData!E$13) / (RawData!E$12 - RawData!E$13) * 100</f>
        <v>13.675213675213666</v>
      </c>
      <c r="F11" s="1">
        <f>(RawData!F11 - RawData!F$13) / (RawData!F$12 - RawData!F$13) * 100</f>
        <v>19.889502762430926</v>
      </c>
      <c r="G11" s="1">
        <f>(RawData!G11 - RawData!G$13) / (RawData!G$12 - RawData!G$13) * 100</f>
        <v>18.575851393188838</v>
      </c>
      <c r="H11" s="1">
        <f>(RawData!H11 - RawData!H$13) / (RawData!H$12 - RawData!H$13) * 100</f>
        <v>61.363636363636346</v>
      </c>
      <c r="I11" s="1">
        <f>(RawData!I$12 - RawData!I11) / (RawData!I$12 - RawData!I$13) * 100</f>
        <v>27.61904761904762</v>
      </c>
      <c r="J11" s="1">
        <f>(RawData!J11 - RawData!J$13) / (RawData!J$12 - RawData!J$13) * 100</f>
        <v>23.437499999999993</v>
      </c>
      <c r="K11" s="1">
        <f>(RawData!K$12 - RawData!K11) / (RawData!K$12 - RawData!K$13) * 100</f>
        <v>0</v>
      </c>
      <c r="L11" s="1">
        <f>(RawData!L$12 - RawData!L11) / (RawData!L$12 - RawData!L$13) * 100</f>
        <v>0</v>
      </c>
      <c r="M11" s="1">
        <f>(RawData!M$12 - RawData!M11) / (RawData!M$12 - RawData!M$13) * 100</f>
        <v>0</v>
      </c>
      <c r="N11" s="1">
        <f>(RawData!N$12 - RawData!N11) / (RawData!N$12 - RawData!N$13) * 100</f>
        <v>43.748365158252675</v>
      </c>
      <c r="O11" s="1">
        <f>(RawData!O11 - RawData!O$13) / (RawData!O$12 - RawData!O$13) * 100</f>
        <v>0</v>
      </c>
      <c r="P11" s="1">
        <f>(RawData!P11 - RawData!P$13) / (RawData!P$12 - RawData!P$13) * 100</f>
        <v>0</v>
      </c>
      <c r="Q11" s="1">
        <f>(RawData!Q$12 - RawData!Q11) / (RawData!Q$12 - RawData!Q$13) * 100</f>
        <v>12.065813528336383</v>
      </c>
      <c r="R11" s="1">
        <f>(RawData!R11 - RawData!R$13) / (RawData!R$12 - RawData!R$13) * 100</f>
        <v>52.669552669552679</v>
      </c>
    </row>
    <row r="12" spans="1:18" x14ac:dyDescent="0.3">
      <c r="A12" s="5"/>
    </row>
    <row r="13" spans="1:18" x14ac:dyDescent="0.3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AFB7-FFEC-4403-8646-F3F7A7D31715}">
  <dimension ref="A1:R13"/>
  <sheetViews>
    <sheetView zoomScale="130" zoomScaleNormal="130" workbookViewId="0">
      <selection activeCell="H22" sqref="H22"/>
    </sheetView>
  </sheetViews>
  <sheetFormatPr defaultRowHeight="14" x14ac:dyDescent="0.3"/>
  <cols>
    <col min="1" max="1" width="12.25" customWidth="1"/>
    <col min="2" max="18" width="6.33203125" customWidth="1"/>
  </cols>
  <sheetData>
    <row r="1" spans="1:18" ht="33.5" thickBot="1" x14ac:dyDescent="0.35">
      <c r="A1" s="2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</row>
    <row r="2" spans="1:18" ht="14.5" thickBot="1" x14ac:dyDescent="0.35">
      <c r="A2" s="4" t="s">
        <v>10</v>
      </c>
      <c r="B2" s="4">
        <f>_xlfn.RANK.AVG(Score!B2, Score!B$2:B$11, 1)</f>
        <v>1</v>
      </c>
      <c r="C2" s="4">
        <f>_xlfn.RANK.AVG(Score!C2, Score!C$2:C$11, 1)</f>
        <v>6</v>
      </c>
      <c r="D2" s="4">
        <f>_xlfn.RANK.AVG(Score!D2, Score!D$2:D$11, 1)</f>
        <v>1</v>
      </c>
      <c r="E2" s="4">
        <f>_xlfn.RANK.AVG(Score!E2, Score!E$2:E$11, 1)</f>
        <v>1</v>
      </c>
      <c r="F2" s="4">
        <f>_xlfn.RANK.AVG(Score!F2, Score!F$2:F$11, 1)</f>
        <v>1</v>
      </c>
      <c r="G2" s="4">
        <f>_xlfn.RANK.AVG(Score!G2, Score!G$2:G$11, 1)</f>
        <v>1</v>
      </c>
      <c r="H2" s="4">
        <f>_xlfn.RANK.AVG(Score!H2, Score!H$2:H$11, 1)</f>
        <v>1</v>
      </c>
      <c r="I2" s="4">
        <f>_xlfn.RANK.AVG(Score!I2, Score!I$2:I$11, 1)</f>
        <v>4.5</v>
      </c>
      <c r="J2" s="4">
        <f>_xlfn.RANK.AVG(Score!J2, Score!J$2:J$11, 1)</f>
        <v>1</v>
      </c>
      <c r="K2" s="4">
        <f>_xlfn.RANK.AVG(Score!K2, Score!K$2:K$11, 1)</f>
        <v>6</v>
      </c>
      <c r="L2" s="4">
        <f>_xlfn.RANK.AVG(Score!L2, Score!L$2:L$11, 1)</f>
        <v>3</v>
      </c>
      <c r="M2" s="4">
        <f>_xlfn.RANK.AVG(Score!M2, Score!M$2:M$11, 1)</f>
        <v>8</v>
      </c>
      <c r="N2" s="4">
        <f>_xlfn.RANK.AVG(Score!N2, Score!N$2:N$11, 1)</f>
        <v>7</v>
      </c>
      <c r="O2" s="4">
        <f>_xlfn.RANK.AVG(Score!O2, Score!O$2:O$11, 1)</f>
        <v>10</v>
      </c>
      <c r="P2" s="4">
        <f>_xlfn.RANK.AVG(Score!P2, Score!P$2:P$11, 1)</f>
        <v>9</v>
      </c>
      <c r="Q2" s="4">
        <f>_xlfn.RANK.AVG(Score!P2, Score!P$2:P$11, 1)</f>
        <v>9</v>
      </c>
      <c r="R2" s="4">
        <f>_xlfn.RANK.AVG(Score!R2, Score!R$2:R$11, 1)</f>
        <v>1</v>
      </c>
    </row>
    <row r="3" spans="1:18" ht="14.5" thickBot="1" x14ac:dyDescent="0.35">
      <c r="A3" s="4" t="s">
        <v>9</v>
      </c>
      <c r="B3" s="4">
        <f>_xlfn.RANK.AVG(Score!B3, Score!B$2:B$11, 1)</f>
        <v>2</v>
      </c>
      <c r="C3" s="4">
        <f>_xlfn.RANK.AVG(Score!C3, Score!C$2:C$11, 1)</f>
        <v>7</v>
      </c>
      <c r="D3" s="4">
        <f>_xlfn.RANK.AVG(Score!D3, Score!D$2:D$11, 1)</f>
        <v>2</v>
      </c>
      <c r="E3" s="4">
        <f>_xlfn.RANK.AVG(Score!E3, Score!E$2:E$11, 1)</f>
        <v>2</v>
      </c>
      <c r="F3" s="4">
        <f>_xlfn.RANK.AVG(Score!F3, Score!F$2:F$11, 1)</f>
        <v>2</v>
      </c>
      <c r="G3" s="4">
        <f>_xlfn.RANK.AVG(Score!G3, Score!G$2:G$11, 1)</f>
        <v>2</v>
      </c>
      <c r="H3" s="4">
        <f>_xlfn.RANK.AVG(Score!H3, Score!H$2:H$11, 1)</f>
        <v>2</v>
      </c>
      <c r="I3" s="4">
        <f>_xlfn.RANK.AVG(Score!I3, Score!I$2:I$11, 1)</f>
        <v>3</v>
      </c>
      <c r="J3" s="4">
        <f>_xlfn.RANK.AVG(Score!J3, Score!J$2:J$11, 1)</f>
        <v>2</v>
      </c>
      <c r="K3" s="4">
        <f>_xlfn.RANK.AVG(Score!K3, Score!K$2:K$11, 1)</f>
        <v>2</v>
      </c>
      <c r="L3" s="4">
        <f>_xlfn.RANK.AVG(Score!L3, Score!L$2:L$11, 1)</f>
        <v>6</v>
      </c>
      <c r="M3" s="4">
        <f>_xlfn.RANK.AVG(Score!M3, Score!M$2:M$11, 1)</f>
        <v>9</v>
      </c>
      <c r="N3" s="4">
        <f>_xlfn.RANK.AVG(Score!N3, Score!N$2:N$11, 1)</f>
        <v>9</v>
      </c>
      <c r="O3" s="4">
        <f>_xlfn.RANK.AVG(Score!O3, Score!O$2:O$11, 1)</f>
        <v>9</v>
      </c>
      <c r="P3" s="4">
        <f>_xlfn.RANK.AVG(Score!P3, Score!P$2:P$11, 1)</f>
        <v>9</v>
      </c>
      <c r="Q3" s="4">
        <f>_xlfn.RANK.AVG(Score!P3, Score!P$2:P$11, 1)</f>
        <v>9</v>
      </c>
      <c r="R3" s="4">
        <f>_xlfn.RANK.AVG(Score!R3, Score!R$2:R$11, 1)</f>
        <v>2</v>
      </c>
    </row>
    <row r="4" spans="1:18" ht="14.5" thickBot="1" x14ac:dyDescent="0.35">
      <c r="A4" s="4" t="s">
        <v>8</v>
      </c>
      <c r="B4" s="4">
        <f>_xlfn.RANK.AVG(Score!B4, Score!B$2:B$11, 1)</f>
        <v>5</v>
      </c>
      <c r="C4" s="4">
        <f>_xlfn.RANK.AVG(Score!C4, Score!C$2:C$11, 1)</f>
        <v>10</v>
      </c>
      <c r="D4" s="4">
        <f>_xlfn.RANK.AVG(Score!D4, Score!D$2:D$11, 1)</f>
        <v>5</v>
      </c>
      <c r="E4" s="4">
        <f>_xlfn.RANK.AVG(Score!E4, Score!E$2:E$11, 1)</f>
        <v>3</v>
      </c>
      <c r="F4" s="4">
        <f>_xlfn.RANK.AVG(Score!F4, Score!F$2:F$11, 1)</f>
        <v>3</v>
      </c>
      <c r="G4" s="4">
        <f>_xlfn.RANK.AVG(Score!G4, Score!G$2:G$11, 1)</f>
        <v>3</v>
      </c>
      <c r="H4" s="4">
        <f>_xlfn.RANK.AVG(Score!H4, Score!H$2:H$11, 1)</f>
        <v>3</v>
      </c>
      <c r="I4" s="4">
        <f>_xlfn.RANK.AVG(Score!I4, Score!I$2:I$11, 1)</f>
        <v>2</v>
      </c>
      <c r="J4" s="4">
        <f>_xlfn.RANK.AVG(Score!J4, Score!J$2:J$11, 1)</f>
        <v>3</v>
      </c>
      <c r="K4" s="4">
        <f>_xlfn.RANK.AVG(Score!K4, Score!K$2:K$11, 1)</f>
        <v>5</v>
      </c>
      <c r="L4" s="4">
        <f>_xlfn.RANK.AVG(Score!L4, Score!L$2:L$11, 1)</f>
        <v>7</v>
      </c>
      <c r="M4" s="4">
        <f>_xlfn.RANK.AVG(Score!M4, Score!M$2:M$11, 1)</f>
        <v>10</v>
      </c>
      <c r="N4" s="4">
        <f>_xlfn.RANK.AVG(Score!N4, Score!N$2:N$11, 1)</f>
        <v>6</v>
      </c>
      <c r="O4" s="4">
        <f>_xlfn.RANK.AVG(Score!O4, Score!O$2:O$11, 1)</f>
        <v>8</v>
      </c>
      <c r="P4" s="4">
        <f>_xlfn.RANK.AVG(Score!P4, Score!P$2:P$11, 1)</f>
        <v>9</v>
      </c>
      <c r="Q4" s="4">
        <f>_xlfn.RANK.AVG(Score!P4, Score!P$2:P$11, 1)</f>
        <v>9</v>
      </c>
      <c r="R4" s="4">
        <f>_xlfn.RANK.AVG(Score!R4, Score!R$2:R$11, 1)</f>
        <v>3</v>
      </c>
    </row>
    <row r="5" spans="1:18" ht="14.5" thickBot="1" x14ac:dyDescent="0.35">
      <c r="A5" s="4" t="s">
        <v>7</v>
      </c>
      <c r="B5" s="4">
        <f>_xlfn.RANK.AVG(Score!B5, Score!B$2:B$11, 1)</f>
        <v>3.5</v>
      </c>
      <c r="C5" s="4">
        <f>_xlfn.RANK.AVG(Score!C5, Score!C$2:C$11, 1)</f>
        <v>9</v>
      </c>
      <c r="D5" s="4">
        <f>_xlfn.RANK.AVG(Score!D5, Score!D$2:D$11, 1)</f>
        <v>3.5</v>
      </c>
      <c r="E5" s="4">
        <f>_xlfn.RANK.AVG(Score!E5, Score!E$2:E$11, 1)</f>
        <v>4</v>
      </c>
      <c r="F5" s="4">
        <f>_xlfn.RANK.AVG(Score!F5, Score!F$2:F$11, 1)</f>
        <v>4</v>
      </c>
      <c r="G5" s="4">
        <f>_xlfn.RANK.AVG(Score!G5, Score!G$2:G$11, 1)</f>
        <v>4</v>
      </c>
      <c r="H5" s="4">
        <f>_xlfn.RANK.AVG(Score!H5, Score!H$2:H$11, 1)</f>
        <v>4</v>
      </c>
      <c r="I5" s="4">
        <f>_xlfn.RANK.AVG(Score!I5, Score!I$2:I$11, 1)</f>
        <v>6</v>
      </c>
      <c r="J5" s="4">
        <f>_xlfn.RANK.AVG(Score!J5, Score!J$2:J$11, 1)</f>
        <v>4</v>
      </c>
      <c r="K5" s="4">
        <f>_xlfn.RANK.AVG(Score!K5, Score!K$2:K$11, 1)</f>
        <v>9</v>
      </c>
      <c r="L5" s="4">
        <f>_xlfn.RANK.AVG(Score!L5, Score!L$2:L$11, 1)</f>
        <v>8</v>
      </c>
      <c r="M5" s="4">
        <f>_xlfn.RANK.AVG(Score!M5, Score!M$2:M$11, 1)</f>
        <v>4</v>
      </c>
      <c r="N5" s="4">
        <f>_xlfn.RANK.AVG(Score!N5, Score!N$2:N$11, 1)</f>
        <v>5</v>
      </c>
      <c r="O5" s="4">
        <f>_xlfn.RANK.AVG(Score!O5, Score!O$2:O$11, 1)</f>
        <v>7</v>
      </c>
      <c r="P5" s="4">
        <f>_xlfn.RANK.AVG(Score!P5, Score!P$2:P$11, 1)</f>
        <v>5.5</v>
      </c>
      <c r="Q5" s="4">
        <f>_xlfn.RANK.AVG(Score!P5, Score!P$2:P$11, 1)</f>
        <v>5.5</v>
      </c>
      <c r="R5" s="4">
        <f>_xlfn.RANK.AVG(Score!R5, Score!R$2:R$11, 1)</f>
        <v>4</v>
      </c>
    </row>
    <row r="6" spans="1:18" ht="14.5" thickBot="1" x14ac:dyDescent="0.35">
      <c r="A6" s="4" t="s">
        <v>6</v>
      </c>
      <c r="B6" s="4">
        <f>_xlfn.RANK.AVG(Score!B6, Score!B$2:B$11, 1)</f>
        <v>3.5</v>
      </c>
      <c r="C6" s="4">
        <f>_xlfn.RANK.AVG(Score!C6, Score!C$2:C$11, 1)</f>
        <v>8</v>
      </c>
      <c r="D6" s="4">
        <f>_xlfn.RANK.AVG(Score!D6, Score!D$2:D$11, 1)</f>
        <v>3.5</v>
      </c>
      <c r="E6" s="4">
        <f>_xlfn.RANK.AVG(Score!E6, Score!E$2:E$11, 1)</f>
        <v>5</v>
      </c>
      <c r="F6" s="4">
        <f>_xlfn.RANK.AVG(Score!F6, Score!F$2:F$11, 1)</f>
        <v>5</v>
      </c>
      <c r="G6" s="4">
        <f>_xlfn.RANK.AVG(Score!G6, Score!G$2:G$11, 1)</f>
        <v>5</v>
      </c>
      <c r="H6" s="4">
        <f>_xlfn.RANK.AVG(Score!H6, Score!H$2:H$11, 1)</f>
        <v>5</v>
      </c>
      <c r="I6" s="4">
        <f>_xlfn.RANK.AVG(Score!I6, Score!I$2:I$11, 1)</f>
        <v>7</v>
      </c>
      <c r="J6" s="4">
        <f>_xlfn.RANK.AVG(Score!J6, Score!J$2:J$11, 1)</f>
        <v>5</v>
      </c>
      <c r="K6" s="4">
        <f>_xlfn.RANK.AVG(Score!K6, Score!K$2:K$11, 1)</f>
        <v>8</v>
      </c>
      <c r="L6" s="4">
        <f>_xlfn.RANK.AVG(Score!L6, Score!L$2:L$11, 1)</f>
        <v>9.5</v>
      </c>
      <c r="M6" s="4">
        <f>_xlfn.RANK.AVG(Score!M6, Score!M$2:M$11, 1)</f>
        <v>5.5</v>
      </c>
      <c r="N6" s="4">
        <f>_xlfn.RANK.AVG(Score!N6, Score!N$2:N$11, 1)</f>
        <v>8</v>
      </c>
      <c r="O6" s="4">
        <f>_xlfn.RANK.AVG(Score!O6, Score!O$2:O$11, 1)</f>
        <v>6</v>
      </c>
      <c r="P6" s="4">
        <f>_xlfn.RANK.AVG(Score!P6, Score!P$2:P$11, 1)</f>
        <v>5.5</v>
      </c>
      <c r="Q6" s="4">
        <f>_xlfn.RANK.AVG(Score!P6, Score!P$2:P$11, 1)</f>
        <v>5.5</v>
      </c>
      <c r="R6" s="4">
        <f>_xlfn.RANK.AVG(Score!R6, Score!R$2:R$11, 1)</f>
        <v>5</v>
      </c>
    </row>
    <row r="7" spans="1:18" ht="14.5" thickBot="1" x14ac:dyDescent="0.35">
      <c r="A7" s="4" t="s">
        <v>5</v>
      </c>
      <c r="B7" s="4">
        <f>_xlfn.RANK.AVG(Score!B7, Score!B$2:B$11, 1)</f>
        <v>6</v>
      </c>
      <c r="C7" s="4">
        <f>_xlfn.RANK.AVG(Score!C7, Score!C$2:C$11, 1)</f>
        <v>3.5</v>
      </c>
      <c r="D7" s="4">
        <f>_xlfn.RANK.AVG(Score!D7, Score!D$2:D$11, 1)</f>
        <v>6</v>
      </c>
      <c r="E7" s="4">
        <f>_xlfn.RANK.AVG(Score!E7, Score!E$2:E$11, 1)</f>
        <v>6</v>
      </c>
      <c r="F7" s="4">
        <f>_xlfn.RANK.AVG(Score!F7, Score!F$2:F$11, 1)</f>
        <v>6.5</v>
      </c>
      <c r="G7" s="4">
        <f>_xlfn.RANK.AVG(Score!G7, Score!G$2:G$11, 1)</f>
        <v>6</v>
      </c>
      <c r="H7" s="4">
        <f>_xlfn.RANK.AVG(Score!H7, Score!H$2:H$11, 1)</f>
        <v>8.5</v>
      </c>
      <c r="I7" s="4">
        <f>_xlfn.RANK.AVG(Score!I7, Score!I$2:I$11, 1)</f>
        <v>1</v>
      </c>
      <c r="J7" s="4">
        <f>_xlfn.RANK.AVG(Score!J7, Score!J$2:J$11, 1)</f>
        <v>7</v>
      </c>
      <c r="K7" s="4">
        <f>_xlfn.RANK.AVG(Score!K7, Score!K$2:K$11, 1)</f>
        <v>10</v>
      </c>
      <c r="L7" s="4">
        <f>_xlfn.RANK.AVG(Score!L7, Score!L$2:L$11, 1)</f>
        <v>9.5</v>
      </c>
      <c r="M7" s="4">
        <f>_xlfn.RANK.AVG(Score!M7, Score!M$2:M$11, 1)</f>
        <v>2.5</v>
      </c>
      <c r="N7" s="4">
        <f>_xlfn.RANK.AVG(Score!N7, Score!N$2:N$11, 1)</f>
        <v>10</v>
      </c>
      <c r="O7" s="4">
        <f>_xlfn.RANK.AVG(Score!O7, Score!O$2:O$11, 1)</f>
        <v>2</v>
      </c>
      <c r="P7" s="4">
        <f>_xlfn.RANK.AVG(Score!P7, Score!P$2:P$11, 1)</f>
        <v>5.5</v>
      </c>
      <c r="Q7" s="4">
        <f>_xlfn.RANK.AVG(Score!P7, Score!P$2:P$11, 1)</f>
        <v>5.5</v>
      </c>
      <c r="R7" s="4">
        <f>_xlfn.RANK.AVG(Score!R7, Score!R$2:R$11, 1)</f>
        <v>6</v>
      </c>
    </row>
    <row r="8" spans="1:18" ht="14.5" thickBot="1" x14ac:dyDescent="0.35">
      <c r="A8" s="4" t="s">
        <v>4</v>
      </c>
      <c r="B8" s="4">
        <f>_xlfn.RANK.AVG(Score!B8, Score!B$2:B$11, 1)</f>
        <v>7</v>
      </c>
      <c r="C8" s="4">
        <f>_xlfn.RANK.AVG(Score!C8, Score!C$2:C$11, 1)</f>
        <v>1</v>
      </c>
      <c r="D8" s="4">
        <f>_xlfn.RANK.AVG(Score!D8, Score!D$2:D$11, 1)</f>
        <v>7</v>
      </c>
      <c r="E8" s="4">
        <f>_xlfn.RANK.AVG(Score!E8, Score!E$2:E$11, 1)</f>
        <v>7</v>
      </c>
      <c r="F8" s="4">
        <f>_xlfn.RANK.AVG(Score!F8, Score!F$2:F$11, 1)</f>
        <v>6.5</v>
      </c>
      <c r="G8" s="4">
        <f>_xlfn.RANK.AVG(Score!G8, Score!G$2:G$11, 1)</f>
        <v>7</v>
      </c>
      <c r="H8" s="4">
        <f>_xlfn.RANK.AVG(Score!H8, Score!H$2:H$11, 1)</f>
        <v>6</v>
      </c>
      <c r="I8" s="4">
        <f>_xlfn.RANK.AVG(Score!I8, Score!I$2:I$11, 1)</f>
        <v>4.5</v>
      </c>
      <c r="J8" s="4">
        <f>_xlfn.RANK.AVG(Score!J8, Score!J$2:J$11, 1)</f>
        <v>6</v>
      </c>
      <c r="K8" s="4">
        <f>_xlfn.RANK.AVG(Score!K8, Score!K$2:K$11, 1)</f>
        <v>7</v>
      </c>
      <c r="L8" s="4">
        <f>_xlfn.RANK.AVG(Score!L8, Score!L$2:L$11, 1)</f>
        <v>5</v>
      </c>
      <c r="M8" s="4">
        <f>_xlfn.RANK.AVG(Score!M8, Score!M$2:M$11, 1)</f>
        <v>5.5</v>
      </c>
      <c r="N8" s="4">
        <f>_xlfn.RANK.AVG(Score!N8, Score!N$2:N$11, 1)</f>
        <v>4</v>
      </c>
      <c r="O8" s="4">
        <f>_xlfn.RANK.AVG(Score!O8, Score!O$2:O$11, 1)</f>
        <v>5</v>
      </c>
      <c r="P8" s="4">
        <f>_xlfn.RANK.AVG(Score!P8, Score!P$2:P$11, 1)</f>
        <v>5.5</v>
      </c>
      <c r="Q8" s="4">
        <f>_xlfn.RANK.AVG(Score!P8, Score!P$2:P$11, 1)</f>
        <v>5.5</v>
      </c>
      <c r="R8" s="4">
        <f>_xlfn.RANK.AVG(Score!R8, Score!R$2:R$11, 1)</f>
        <v>7</v>
      </c>
    </row>
    <row r="9" spans="1:18" ht="14.5" thickBot="1" x14ac:dyDescent="0.35">
      <c r="A9" s="4" t="s">
        <v>3</v>
      </c>
      <c r="B9" s="4">
        <f>_xlfn.RANK.AVG(Score!B9, Score!B$2:B$11, 1)</f>
        <v>8</v>
      </c>
      <c r="C9" s="4">
        <f>_xlfn.RANK.AVG(Score!C9, Score!C$2:C$11, 1)</f>
        <v>2</v>
      </c>
      <c r="D9" s="4">
        <f>_xlfn.RANK.AVG(Score!D9, Score!D$2:D$11, 1)</f>
        <v>8</v>
      </c>
      <c r="E9" s="4">
        <f>_xlfn.RANK.AVG(Score!E9, Score!E$2:E$11, 1)</f>
        <v>8</v>
      </c>
      <c r="F9" s="4">
        <f>_xlfn.RANK.AVG(Score!F9, Score!F$2:F$11, 1)</f>
        <v>8</v>
      </c>
      <c r="G9" s="4">
        <f>_xlfn.RANK.AVG(Score!G9, Score!G$2:G$11, 1)</f>
        <v>8</v>
      </c>
      <c r="H9" s="4">
        <f>_xlfn.RANK.AVG(Score!H9, Score!H$2:H$11, 1)</f>
        <v>8.5</v>
      </c>
      <c r="I9" s="4">
        <f>_xlfn.RANK.AVG(Score!I9, Score!I$2:I$11, 1)</f>
        <v>8</v>
      </c>
      <c r="J9" s="4">
        <f>_xlfn.RANK.AVG(Score!J9, Score!J$2:J$11, 1)</f>
        <v>8</v>
      </c>
      <c r="K9" s="4">
        <f>_xlfn.RANK.AVG(Score!K9, Score!K$2:K$11, 1)</f>
        <v>4</v>
      </c>
      <c r="L9" s="4">
        <f>_xlfn.RANK.AVG(Score!L9, Score!L$2:L$11, 1)</f>
        <v>4</v>
      </c>
      <c r="M9" s="4">
        <f>_xlfn.RANK.AVG(Score!M9, Score!M$2:M$11, 1)</f>
        <v>7</v>
      </c>
      <c r="N9" s="4">
        <f>_xlfn.RANK.AVG(Score!N9, Score!N$2:N$11, 1)</f>
        <v>1</v>
      </c>
      <c r="O9" s="4">
        <f>_xlfn.RANK.AVG(Score!O9, Score!O$2:O$11, 1)</f>
        <v>4</v>
      </c>
      <c r="P9" s="4">
        <f>_xlfn.RANK.AVG(Score!P9, Score!P$2:P$11, 1)</f>
        <v>2</v>
      </c>
      <c r="Q9" s="4">
        <f>_xlfn.RANK.AVG(Score!P9, Score!P$2:P$11, 1)</f>
        <v>2</v>
      </c>
      <c r="R9" s="4">
        <f>_xlfn.RANK.AVG(Score!R9, Score!R$2:R$11, 1)</f>
        <v>8</v>
      </c>
    </row>
    <row r="10" spans="1:18" ht="14.5" thickBot="1" x14ac:dyDescent="0.35">
      <c r="A10" s="4" t="s">
        <v>2</v>
      </c>
      <c r="B10" s="4">
        <f>_xlfn.RANK.AVG(Score!B10, Score!B$2:B$11, 1)</f>
        <v>9</v>
      </c>
      <c r="C10" s="4">
        <f>_xlfn.RANK.AVG(Score!C10, Score!C$2:C$11, 1)</f>
        <v>3.5</v>
      </c>
      <c r="D10" s="4">
        <f>_xlfn.RANK.AVG(Score!D10, Score!D$2:D$11, 1)</f>
        <v>9</v>
      </c>
      <c r="E10" s="4">
        <f>_xlfn.RANK.AVG(Score!E10, Score!E$2:E$11, 1)</f>
        <v>9</v>
      </c>
      <c r="F10" s="4">
        <f>_xlfn.RANK.AVG(Score!F10, Score!F$2:F$11, 1)</f>
        <v>9.5</v>
      </c>
      <c r="G10" s="4">
        <f>_xlfn.RANK.AVG(Score!G10, Score!G$2:G$11, 1)</f>
        <v>9</v>
      </c>
      <c r="H10" s="4">
        <f>_xlfn.RANK.AVG(Score!H10, Score!H$2:H$11, 1)</f>
        <v>7</v>
      </c>
      <c r="I10" s="4">
        <f>_xlfn.RANK.AVG(Score!I10, Score!I$2:I$11, 1)</f>
        <v>10</v>
      </c>
      <c r="J10" s="4">
        <f>_xlfn.RANK.AVG(Score!J10, Score!J$2:J$11, 1)</f>
        <v>9</v>
      </c>
      <c r="K10" s="4">
        <f>_xlfn.RANK.AVG(Score!K10, Score!K$2:K$11, 1)</f>
        <v>3</v>
      </c>
      <c r="L10" s="4">
        <f>_xlfn.RANK.AVG(Score!L10, Score!L$2:L$11, 1)</f>
        <v>2</v>
      </c>
      <c r="M10" s="4">
        <f>_xlfn.RANK.AVG(Score!M10, Score!M$2:M$11, 1)</f>
        <v>2.5</v>
      </c>
      <c r="N10" s="4">
        <f>_xlfn.RANK.AVG(Score!N10, Score!N$2:N$11, 1)</f>
        <v>2</v>
      </c>
      <c r="O10" s="4">
        <f>_xlfn.RANK.AVG(Score!O10, Score!O$2:O$11, 1)</f>
        <v>3</v>
      </c>
      <c r="P10" s="4">
        <f>_xlfn.RANK.AVG(Score!P10, Score!P$2:P$11, 1)</f>
        <v>2</v>
      </c>
      <c r="Q10" s="4">
        <f>_xlfn.RANK.AVG(Score!P10, Score!P$2:P$11, 1)</f>
        <v>2</v>
      </c>
      <c r="R10" s="4">
        <f>_xlfn.RANK.AVG(Score!R10, Score!R$2:R$11, 1)</f>
        <v>9</v>
      </c>
    </row>
    <row r="11" spans="1:18" ht="14.5" thickBot="1" x14ac:dyDescent="0.35">
      <c r="A11" s="4" t="s">
        <v>1</v>
      </c>
      <c r="B11" s="4">
        <f>_xlfn.RANK.AVG(Score!B11, Score!B$2:B$11, 1)</f>
        <v>10</v>
      </c>
      <c r="C11" s="4">
        <f>_xlfn.RANK.AVG(Score!C11, Score!C$2:C$11, 1)</f>
        <v>5</v>
      </c>
      <c r="D11" s="4">
        <f>_xlfn.RANK.AVG(Score!D11, Score!D$2:D$11, 1)</f>
        <v>10</v>
      </c>
      <c r="E11" s="4">
        <f>_xlfn.RANK.AVG(Score!E11, Score!E$2:E$11, 1)</f>
        <v>10</v>
      </c>
      <c r="F11" s="4">
        <f>_xlfn.RANK.AVG(Score!F11, Score!F$2:F$11, 1)</f>
        <v>9.5</v>
      </c>
      <c r="G11" s="4">
        <f>_xlfn.RANK.AVG(Score!G11, Score!G$2:G$11, 1)</f>
        <v>10</v>
      </c>
      <c r="H11" s="4">
        <f>_xlfn.RANK.AVG(Score!H11, Score!H$2:H$11, 1)</f>
        <v>10</v>
      </c>
      <c r="I11" s="4">
        <f>_xlfn.RANK.AVG(Score!I11, Score!I$2:I$11, 1)</f>
        <v>9</v>
      </c>
      <c r="J11" s="4">
        <f>_xlfn.RANK.AVG(Score!J11, Score!J$2:J$11, 1)</f>
        <v>10</v>
      </c>
      <c r="K11" s="4">
        <f>_xlfn.RANK.AVG(Score!K11, Score!K$2:K$11, 1)</f>
        <v>1</v>
      </c>
      <c r="L11" s="4">
        <f>_xlfn.RANK.AVG(Score!L11, Score!L$2:L$11, 1)</f>
        <v>1</v>
      </c>
      <c r="M11" s="4">
        <f>_xlfn.RANK.AVG(Score!M11, Score!M$2:M$11, 1)</f>
        <v>1</v>
      </c>
      <c r="N11" s="4">
        <f>_xlfn.RANK.AVG(Score!N11, Score!N$2:N$11, 1)</f>
        <v>3</v>
      </c>
      <c r="O11" s="4">
        <f>_xlfn.RANK.AVG(Score!O11, Score!O$2:O$11, 1)</f>
        <v>1</v>
      </c>
      <c r="P11" s="4">
        <f>_xlfn.RANK.AVG(Score!P11, Score!P$2:P$11, 1)</f>
        <v>2</v>
      </c>
      <c r="Q11" s="4">
        <f>_xlfn.RANK.AVG(Score!P11, Score!P$2:P$11, 1)</f>
        <v>2</v>
      </c>
      <c r="R11" s="4">
        <f>_xlfn.RANK.AVG(Score!R11, Score!R$2:R$11, 1)</f>
        <v>10</v>
      </c>
    </row>
    <row r="12" spans="1:18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142A-F2CC-454E-9DBE-BC6256CB245F}">
  <dimension ref="A1:AB18"/>
  <sheetViews>
    <sheetView tabSelected="1" zoomScaleNormal="100" workbookViewId="0"/>
  </sheetViews>
  <sheetFormatPr defaultRowHeight="14" x14ac:dyDescent="0.3"/>
  <cols>
    <col min="1" max="1" width="14.9140625" customWidth="1"/>
  </cols>
  <sheetData>
    <row r="1" spans="1:28" s="4" customFormat="1" ht="21" customHeight="1" thickBot="1" x14ac:dyDescent="0.35">
      <c r="A1" t="s">
        <v>30</v>
      </c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/>
      <c r="T1"/>
      <c r="U1"/>
      <c r="V1"/>
      <c r="W1"/>
      <c r="X1"/>
      <c r="Y1"/>
      <c r="Z1"/>
      <c r="AA1"/>
      <c r="AB1"/>
    </row>
    <row r="2" spans="1:28" s="4" customFormat="1" ht="14.5" thickBot="1" x14ac:dyDescent="0.35">
      <c r="A2" s="4">
        <v>0</v>
      </c>
      <c r="B2" s="4">
        <v>0</v>
      </c>
      <c r="C2" s="4">
        <f ca="1">CORREL(OFFSET(Rank!$B$2:$B$11, 0, $A2), OFFSET(Rank!$B$2:$B$11, 0, C$1))</f>
        <v>-0.5792682926829269</v>
      </c>
      <c r="D2" s="4">
        <f ca="1">CORREL(OFFSET(Rank!$B$2:$B$11, 0, $A2), OFFSET(Rank!$B$2:$B$11, 0, D$1))</f>
        <v>1</v>
      </c>
      <c r="E2" s="4">
        <f ca="1">CORREL(OFFSET(Rank!$B$2:$B$11, 0, $A2), OFFSET(Rank!$B$2:$B$11, 0, E$1))</f>
        <v>0.9604907590145022</v>
      </c>
      <c r="F2" s="4">
        <f ca="1">CORREL(OFFSET(Rank!$B$2:$B$11, 0, $A2), OFFSET(Rank!$B$2:$B$11, 0, F$1))</f>
        <v>0.95413290190281708</v>
      </c>
      <c r="G2" s="4">
        <f ca="1">CORREL(OFFSET(Rank!$B$2:$B$11, 0, $A2), OFFSET(Rank!$B$2:$B$11, 0, G$1))</f>
        <v>0.9604907590145022</v>
      </c>
      <c r="H2" s="4">
        <f ca="1">CORREL(OFFSET(Rank!$B$2:$B$11, 0, $A2), OFFSET(Rank!$B$2:$B$11, 0, H$1))</f>
        <v>0.8902439024390244</v>
      </c>
      <c r="I2" s="4">
        <f ca="1">CORREL(OFFSET(Rank!$B$2:$B$11, 0, $A2), OFFSET(Rank!$B$2:$B$11, 0, I$1))</f>
        <v>0.54878048780487809</v>
      </c>
      <c r="J2" s="4">
        <f ca="1">CORREL(OFFSET(Rank!$B$2:$B$11, 0, $A2), OFFSET(Rank!$B$2:$B$11, 0, J$1))</f>
        <v>0.9483326481409009</v>
      </c>
      <c r="K2" s="4">
        <f ca="1">CORREL(OFFSET(Rank!$B$2:$B$11, 0, $A2), OFFSET(Rank!$B$2:$B$11, 0, K$1))</f>
        <v>-0.36474332620803879</v>
      </c>
      <c r="L2" s="4">
        <f ca="1">CORREL(OFFSET(Rank!$B$2:$B$11, 0, $A2), OFFSET(Rank!$B$2:$B$11, 0, L$1))</f>
        <v>-0.47865853658536589</v>
      </c>
      <c r="M2" s="4">
        <f ca="1">CORREL(OFFSET(Rank!$B$2:$B$11, 0, $A2), OFFSET(Rank!$B$2:$B$11, 0, M$1))</f>
        <v>-0.62691424644255611</v>
      </c>
      <c r="N2" s="4">
        <f ca="1">CORREL(OFFSET(Rank!$B$2:$B$11, 0, $A2), OFFSET(Rank!$B$2:$B$11, 0, N$1))</f>
        <v>-0.70517043066887497</v>
      </c>
      <c r="O2" s="4">
        <f ca="1">CORREL(OFFSET(Rank!$B$2:$B$11, 0, $A2), OFFSET(Rank!$B$2:$B$11, 0, O$1))</f>
        <v>-0.88754209377289439</v>
      </c>
      <c r="P2" s="4">
        <f ca="1">CORREL(OFFSET(Rank!$B$2:$B$11, 0, $A2), OFFSET(Rank!$B$2:$B$11, 0, P$1))</f>
        <v>-0.85658615293406071</v>
      </c>
      <c r="Q2" s="4">
        <f ca="1">CORREL(OFFSET(Rank!$B$2:$B$11, 0, $A2), OFFSET(Rank!$B$2:$B$11, 0, Q$1))</f>
        <v>-0.85658615293406071</v>
      </c>
      <c r="R2" s="4">
        <f ca="1">CORREL(OFFSET(Rank!$B$2:$B$11, 0, $A2), OFFSET(Rank!$B$2:$B$11, 0, R$1))</f>
        <v>0.9604907590145022</v>
      </c>
      <c r="S2"/>
      <c r="T2"/>
      <c r="U2"/>
      <c r="V2"/>
      <c r="W2"/>
      <c r="X2"/>
      <c r="Y2"/>
      <c r="Z2"/>
      <c r="AA2"/>
      <c r="AB2"/>
    </row>
    <row r="3" spans="1:28" s="4" customFormat="1" ht="14.5" thickBot="1" x14ac:dyDescent="0.35">
      <c r="A3" s="4">
        <v>1</v>
      </c>
      <c r="B3" s="4">
        <f ca="1">CORREL(OFFSET(Rank!$B$2:$B$11, 0, $A3), OFFSET(Rank!$B$2:$B$11, 0, B$1))</f>
        <v>-0.5792682926829269</v>
      </c>
      <c r="C3" s="4">
        <v>0</v>
      </c>
      <c r="D3" s="4">
        <f ca="1">CORREL(OFFSET(Rank!$B$2:$B$11, 0, $A3), OFFSET(Rank!$B$2:$B$11, 0, D$1))</f>
        <v>-0.5792682926829269</v>
      </c>
      <c r="E3" s="4">
        <f ca="1">CORREL(OFFSET(Rank!$B$2:$B$11, 0, $A3), OFFSET(Rank!$B$2:$B$11, 0, E$1))</f>
        <v>-0.62006365455366586</v>
      </c>
      <c r="F3" s="4">
        <f ca="1">CORREL(OFFSET(Rank!$B$2:$B$11, 0, $A3), OFFSET(Rank!$B$2:$B$11, 0, F$1))</f>
        <v>-0.61773989161656739</v>
      </c>
      <c r="G3" s="4">
        <f ca="1">CORREL(OFFSET(Rank!$B$2:$B$11, 0, $A3), OFFSET(Rank!$B$2:$B$11, 0, G$1))</f>
        <v>-0.62006365455366586</v>
      </c>
      <c r="H3" s="4">
        <f ca="1">CORREL(OFFSET(Rank!$B$2:$B$11, 0, $A3), OFFSET(Rank!$B$2:$B$11, 0, H$1))</f>
        <v>-0.60060975609756095</v>
      </c>
      <c r="I3" s="4">
        <f ca="1">CORREL(OFFSET(Rank!$B$2:$B$11, 0, $A3), OFFSET(Rank!$B$2:$B$11, 0, I$1))</f>
        <v>-0.25</v>
      </c>
      <c r="J3" s="4">
        <f ca="1">CORREL(OFFSET(Rank!$B$2:$B$11, 0, $A3), OFFSET(Rank!$B$2:$B$11, 0, J$1))</f>
        <v>-0.58966837736966271</v>
      </c>
      <c r="K3" s="4">
        <f ca="1">CORREL(OFFSET(Rank!$B$2:$B$11, 0, $A3), OFFSET(Rank!$B$2:$B$11, 0, K$1))</f>
        <v>9.7264886988810348E-2</v>
      </c>
      <c r="L3" s="4">
        <f ca="1">CORREL(OFFSET(Rank!$B$2:$B$11, 0, $A3), OFFSET(Rank!$B$2:$B$11, 0, L$1))</f>
        <v>0.41158536585365857</v>
      </c>
      <c r="M3" s="4">
        <f ca="1">CORREL(OFFSET(Rank!$B$2:$B$11, 0, $A3), OFFSET(Rank!$B$2:$B$11, 0, M$1))</f>
        <v>0.37309042959020411</v>
      </c>
      <c r="N3" s="4">
        <f ca="1">CORREL(OFFSET(Rank!$B$2:$B$11, 0, $A3), OFFSET(Rank!$B$2:$B$11, 0, N$1))</f>
        <v>0.41945482513924465</v>
      </c>
      <c r="O3" s="4">
        <f ca="1">CORREL(OFFSET(Rank!$B$2:$B$11, 0, $A3), OFFSET(Rank!$B$2:$B$11, 0, O$1))</f>
        <v>0.57143121105926076</v>
      </c>
      <c r="P3" s="4">
        <f ca="1">CORREL(OFFSET(Rank!$B$2:$B$11, 0, $A3), OFFSET(Rank!$B$2:$B$11, 0, P$1))</f>
        <v>0.56354352166714516</v>
      </c>
      <c r="Q3" s="4">
        <f ca="1">CORREL(OFFSET(Rank!$B$2:$B$11, 0, $A3), OFFSET(Rank!$B$2:$B$11, 0, Q$1))</f>
        <v>0.56354352166714516</v>
      </c>
      <c r="R3" s="4">
        <f ca="1">CORREL(OFFSET(Rank!$B$2:$B$11, 0, $A3), OFFSET(Rank!$B$2:$B$11, 0, R$1))</f>
        <v>-0.62006365455366586</v>
      </c>
      <c r="S3"/>
      <c r="T3"/>
      <c r="U3"/>
      <c r="V3"/>
      <c r="W3"/>
      <c r="X3"/>
      <c r="Y3"/>
      <c r="Z3"/>
      <c r="AA3"/>
      <c r="AB3"/>
    </row>
    <row r="4" spans="1:28" s="4" customFormat="1" ht="14.5" thickBot="1" x14ac:dyDescent="0.35">
      <c r="A4" s="4">
        <v>2</v>
      </c>
      <c r="B4" s="4">
        <f ca="1">CORREL(OFFSET(Rank!$B$2:$B$11, 0, $A4), OFFSET(Rank!$B$2:$B$11, 0, B$1))</f>
        <v>1</v>
      </c>
      <c r="C4" s="4">
        <f ca="1">CORREL(OFFSET(Rank!$B$2:$B$11, 0, $A4), OFFSET(Rank!$B$2:$B$11, 0, C$1))</f>
        <v>-0.5792682926829269</v>
      </c>
      <c r="D4" s="4">
        <v>0</v>
      </c>
      <c r="E4" s="4">
        <f ca="1">CORREL(OFFSET(Rank!$B$2:$B$11, 0, $A4), OFFSET(Rank!$B$2:$B$11, 0, E$1))</f>
        <v>0.9604907590145022</v>
      </c>
      <c r="F4" s="4">
        <f ca="1">CORREL(OFFSET(Rank!$B$2:$B$11, 0, $A4), OFFSET(Rank!$B$2:$B$11, 0, F$1))</f>
        <v>0.95413290190281708</v>
      </c>
      <c r="G4" s="4">
        <f ca="1">CORREL(OFFSET(Rank!$B$2:$B$11, 0, $A4), OFFSET(Rank!$B$2:$B$11, 0, G$1))</f>
        <v>0.9604907590145022</v>
      </c>
      <c r="H4" s="4">
        <f ca="1">CORREL(OFFSET(Rank!$B$2:$B$11, 0, $A4), OFFSET(Rank!$B$2:$B$11, 0, H$1))</f>
        <v>0.8902439024390244</v>
      </c>
      <c r="I4" s="4">
        <f ca="1">CORREL(OFFSET(Rank!$B$2:$B$11, 0, $A4), OFFSET(Rank!$B$2:$B$11, 0, I$1))</f>
        <v>0.54878048780487809</v>
      </c>
      <c r="J4" s="4">
        <f ca="1">CORREL(OFFSET(Rank!$B$2:$B$11, 0, $A4), OFFSET(Rank!$B$2:$B$11, 0, J$1))</f>
        <v>0.9483326481409009</v>
      </c>
      <c r="K4" s="4">
        <f ca="1">CORREL(OFFSET(Rank!$B$2:$B$11, 0, $A4), OFFSET(Rank!$B$2:$B$11, 0, K$1))</f>
        <v>-0.36474332620803879</v>
      </c>
      <c r="L4" s="4">
        <f ca="1">CORREL(OFFSET(Rank!$B$2:$B$11, 0, $A4), OFFSET(Rank!$B$2:$B$11, 0, L$1))</f>
        <v>-0.47865853658536589</v>
      </c>
      <c r="M4" s="4">
        <f ca="1">CORREL(OFFSET(Rank!$B$2:$B$11, 0, $A4), OFFSET(Rank!$B$2:$B$11, 0, M$1))</f>
        <v>-0.62691424644255611</v>
      </c>
      <c r="N4" s="4">
        <f ca="1">CORREL(OFFSET(Rank!$B$2:$B$11, 0, $A4), OFFSET(Rank!$B$2:$B$11, 0, N$1))</f>
        <v>-0.70517043066887497</v>
      </c>
      <c r="O4" s="4">
        <f ca="1">CORREL(OFFSET(Rank!$B$2:$B$11, 0, $A4), OFFSET(Rank!$B$2:$B$11, 0, O$1))</f>
        <v>-0.88754209377289439</v>
      </c>
      <c r="P4" s="4">
        <f ca="1">CORREL(OFFSET(Rank!$B$2:$B$11, 0, $A4), OFFSET(Rank!$B$2:$B$11, 0, P$1))</f>
        <v>-0.85658615293406071</v>
      </c>
      <c r="Q4" s="4">
        <f ca="1">CORREL(OFFSET(Rank!$B$2:$B$11, 0, $A4), OFFSET(Rank!$B$2:$B$11, 0, Q$1))</f>
        <v>-0.85658615293406071</v>
      </c>
      <c r="R4" s="4">
        <f ca="1">CORREL(OFFSET(Rank!$B$2:$B$11, 0, $A4), OFFSET(Rank!$B$2:$B$11, 0, R$1))</f>
        <v>0.9604907590145022</v>
      </c>
      <c r="S4"/>
      <c r="T4"/>
      <c r="U4"/>
      <c r="V4"/>
      <c r="W4"/>
      <c r="X4"/>
      <c r="Y4"/>
      <c r="Z4"/>
      <c r="AA4"/>
      <c r="AB4"/>
    </row>
    <row r="5" spans="1:28" s="4" customFormat="1" ht="14.5" thickBot="1" x14ac:dyDescent="0.35">
      <c r="A5" s="4">
        <v>3</v>
      </c>
      <c r="B5" s="4">
        <f ca="1">CORREL(OFFSET(Rank!$B$2:$B$11, 0, $A5), OFFSET(Rank!$B$2:$B$11, 0, B$1))</f>
        <v>0.9604907590145022</v>
      </c>
      <c r="C5" s="4">
        <f ca="1">CORREL(OFFSET(Rank!$B$2:$B$11, 0, $A5), OFFSET(Rank!$B$2:$B$11, 0, C$1))</f>
        <v>-0.62006365455366586</v>
      </c>
      <c r="D5" s="4">
        <f ca="1">CORREL(OFFSET(Rank!$B$2:$B$11, 0, $A5), OFFSET(Rank!$B$2:$B$11, 0, D$1))</f>
        <v>0.9604907590145022</v>
      </c>
      <c r="E5" s="4">
        <v>0</v>
      </c>
      <c r="F5" s="4">
        <f ca="1">CORREL(OFFSET(Rank!$B$2:$B$11, 0, $A5), OFFSET(Rank!$B$2:$B$11, 0, F$1))</f>
        <v>0.99392091631013979</v>
      </c>
      <c r="G5" s="4">
        <f ca="1">CORREL(OFFSET(Rank!$B$2:$B$11, 0, $A5), OFFSET(Rank!$B$2:$B$11, 0, G$1))</f>
        <v>1</v>
      </c>
      <c r="H5" s="4">
        <f ca="1">CORREL(OFFSET(Rank!$B$2:$B$11, 0, $A5), OFFSET(Rank!$B$2:$B$11, 0, H$1))</f>
        <v>0.93009548183049895</v>
      </c>
      <c r="I5" s="4">
        <f ca="1">CORREL(OFFSET(Rank!$B$2:$B$11, 0, $A5), OFFSET(Rank!$B$2:$B$11, 0, I$1))</f>
        <v>0.66261704261127052</v>
      </c>
      <c r="J5" s="4">
        <f ca="1">CORREL(OFFSET(Rank!$B$2:$B$11, 0, $A5), OFFSET(Rank!$B$2:$B$11, 0, J$1))</f>
        <v>0.98787878787878791</v>
      </c>
      <c r="K5" s="4">
        <f ca="1">CORREL(OFFSET(Rank!$B$2:$B$11, 0, $A5), OFFSET(Rank!$B$2:$B$11, 0, K$1))</f>
        <v>-0.28484848484848485</v>
      </c>
      <c r="L5" s="4">
        <f ca="1">CORREL(OFFSET(Rank!$B$2:$B$11, 0, $A5), OFFSET(Rank!$B$2:$B$11, 0, L$1))</f>
        <v>-0.42553388057604524</v>
      </c>
      <c r="M5" s="4">
        <f ca="1">CORREL(OFFSET(Rank!$B$2:$B$11, 0, $A5), OFFSET(Rank!$B$2:$B$11, 0, M$1))</f>
        <v>-0.74391626864930693</v>
      </c>
      <c r="N5" s="4">
        <f ca="1">CORREL(OFFSET(Rank!$B$2:$B$11, 0, $A5), OFFSET(Rank!$B$2:$B$11, 0, N$1))</f>
        <v>-0.67272727272727273</v>
      </c>
      <c r="O5" s="4">
        <f ca="1">CORREL(OFFSET(Rank!$B$2:$B$11, 0, $A5), OFFSET(Rank!$B$2:$B$11, 0, O$1))</f>
        <v>-0.92727272727272736</v>
      </c>
      <c r="P5" s="4">
        <f ca="1">CORREL(OFFSET(Rank!$B$2:$B$11, 0, $A5), OFFSET(Rank!$B$2:$B$11, 0, P$1))</f>
        <v>-0.94387980744853883</v>
      </c>
      <c r="Q5" s="4">
        <f ca="1">CORREL(OFFSET(Rank!$B$2:$B$11, 0, $A5), OFFSET(Rank!$B$2:$B$11, 0, Q$1))</f>
        <v>-0.94387980744853883</v>
      </c>
      <c r="R5" s="4">
        <f ca="1">CORREL(OFFSET(Rank!$B$2:$B$11, 0, $A5), OFFSET(Rank!$B$2:$B$11, 0, R$1))</f>
        <v>1</v>
      </c>
      <c r="S5"/>
      <c r="T5"/>
      <c r="U5"/>
      <c r="V5"/>
      <c r="W5"/>
      <c r="X5"/>
      <c r="Y5"/>
      <c r="Z5"/>
      <c r="AA5"/>
      <c r="AB5"/>
    </row>
    <row r="6" spans="1:28" s="4" customFormat="1" ht="14.5" thickBot="1" x14ac:dyDescent="0.35">
      <c r="A6" s="4">
        <v>4</v>
      </c>
      <c r="B6" s="4">
        <f ca="1">CORREL(OFFSET(Rank!$B$2:$B$11, 0, $A6), OFFSET(Rank!$B$2:$B$11, 0, B$1))</f>
        <v>0.95413290190281708</v>
      </c>
      <c r="C6" s="4">
        <f ca="1">CORREL(OFFSET(Rank!$B$2:$B$11, 0, $A6), OFFSET(Rank!$B$2:$B$11, 0, C$1))</f>
        <v>-0.61773989161656739</v>
      </c>
      <c r="D6" s="4">
        <f ca="1">CORREL(OFFSET(Rank!$B$2:$B$11, 0, $A6), OFFSET(Rank!$B$2:$B$11, 0, D$1))</f>
        <v>0.95413290190281708</v>
      </c>
      <c r="E6" s="4">
        <f ca="1">CORREL(OFFSET(Rank!$B$2:$B$11, 0, $A6), OFFSET(Rank!$B$2:$B$11, 0, E$1))</f>
        <v>0.99392091631013979</v>
      </c>
      <c r="F6" s="4">
        <v>0</v>
      </c>
      <c r="G6" s="4">
        <f ca="1">CORREL(OFFSET(Rank!$B$2:$B$11, 0, $A6), OFFSET(Rank!$B$2:$B$11, 0, G$1))</f>
        <v>0.99392091631013979</v>
      </c>
      <c r="H6" s="4">
        <f ca="1">CORREL(OFFSET(Rank!$B$2:$B$11, 0, $A6), OFFSET(Rank!$B$2:$B$11, 0, H$1))</f>
        <v>0.93272607397551033</v>
      </c>
      <c r="I6" s="4">
        <f ca="1">CORREL(OFFSET(Rank!$B$2:$B$11, 0, $A6), OFFSET(Rank!$B$2:$B$11, 0, I$1))</f>
        <v>0.6513791926451924</v>
      </c>
      <c r="J6" s="4">
        <f ca="1">CORREL(OFFSET(Rank!$B$2:$B$11, 0, $A6), OFFSET(Rank!$B$2:$B$11, 0, J$1))</f>
        <v>0.99392091631013979</v>
      </c>
      <c r="K6" s="4">
        <f ca="1">CORREL(OFFSET(Rank!$B$2:$B$11, 0, $A6), OFFSET(Rank!$B$2:$B$11, 0, K$1))</f>
        <v>-0.25610232199402372</v>
      </c>
      <c r="L6" s="4">
        <f ca="1">CORREL(OFFSET(Rank!$B$2:$B$11, 0, $A6), OFFSET(Rank!$B$2:$B$11, 0, L$1))</f>
        <v>-0.39449725751751091</v>
      </c>
      <c r="M6" s="4">
        <f ca="1">CORREL(OFFSET(Rank!$B$2:$B$11, 0, $A6), OFFSET(Rank!$B$2:$B$11, 0, M$1))</f>
        <v>-0.75766871165644167</v>
      </c>
      <c r="N6" s="4">
        <f ca="1">CORREL(OFFSET(Rank!$B$2:$B$11, 0, $A6), OFFSET(Rank!$B$2:$B$11, 0, N$1))</f>
        <v>-0.64635347931825038</v>
      </c>
      <c r="O6" s="4">
        <f ca="1">CORREL(OFFSET(Rank!$B$2:$B$11, 0, $A6), OFFSET(Rank!$B$2:$B$11, 0, O$1))</f>
        <v>-0.93904184731142037</v>
      </c>
      <c r="P6" s="4">
        <f ca="1">CORREL(OFFSET(Rank!$B$2:$B$11, 0, $A6), OFFSET(Rank!$B$2:$B$11, 0, P$1))</f>
        <v>-0.94965282645688254</v>
      </c>
      <c r="Q6" s="4">
        <f ca="1">CORREL(OFFSET(Rank!$B$2:$B$11, 0, $A6), OFFSET(Rank!$B$2:$B$11, 0, Q$1))</f>
        <v>-0.94965282645688254</v>
      </c>
      <c r="R6" s="4">
        <f ca="1">CORREL(OFFSET(Rank!$B$2:$B$11, 0, $A6), OFFSET(Rank!$B$2:$B$11, 0, R$1))</f>
        <v>0.99392091631013979</v>
      </c>
      <c r="S6"/>
      <c r="T6"/>
      <c r="U6"/>
      <c r="V6"/>
      <c r="W6"/>
      <c r="X6"/>
      <c r="Y6"/>
      <c r="Z6"/>
      <c r="AA6"/>
      <c r="AB6"/>
    </row>
    <row r="7" spans="1:28" s="4" customFormat="1" ht="14.5" thickBot="1" x14ac:dyDescent="0.35">
      <c r="A7" s="4">
        <v>5</v>
      </c>
      <c r="B7" s="4">
        <f ca="1">CORREL(OFFSET(Rank!$B$2:$B$11, 0, $A7), OFFSET(Rank!$B$2:$B$11, 0, B$1))</f>
        <v>0.9604907590145022</v>
      </c>
      <c r="C7" s="4">
        <f ca="1">CORREL(OFFSET(Rank!$B$2:$B$11, 0, $A7), OFFSET(Rank!$B$2:$B$11, 0, C$1))</f>
        <v>-0.62006365455366586</v>
      </c>
      <c r="D7" s="4">
        <f ca="1">CORREL(OFFSET(Rank!$B$2:$B$11, 0, $A7), OFFSET(Rank!$B$2:$B$11, 0, D$1))</f>
        <v>0.9604907590145022</v>
      </c>
      <c r="E7" s="4">
        <f ca="1">CORREL(OFFSET(Rank!$B$2:$B$11, 0, $A7), OFFSET(Rank!$B$2:$B$11, 0, E$1))</f>
        <v>1</v>
      </c>
      <c r="F7" s="4">
        <f ca="1">CORREL(OFFSET(Rank!$B$2:$B$11, 0, $A7), OFFSET(Rank!$B$2:$B$11, 0, F$1))</f>
        <v>0.99392091631013979</v>
      </c>
      <c r="G7" s="4">
        <v>0</v>
      </c>
      <c r="H7" s="4">
        <f ca="1">CORREL(OFFSET(Rank!$B$2:$B$11, 0, $A7), OFFSET(Rank!$B$2:$B$11, 0, H$1))</f>
        <v>0.93009548183049895</v>
      </c>
      <c r="I7" s="4">
        <f ca="1">CORREL(OFFSET(Rank!$B$2:$B$11, 0, $A7), OFFSET(Rank!$B$2:$B$11, 0, I$1))</f>
        <v>0.66261704261127052</v>
      </c>
      <c r="J7" s="4">
        <f ca="1">CORREL(OFFSET(Rank!$B$2:$B$11, 0, $A7), OFFSET(Rank!$B$2:$B$11, 0, J$1))</f>
        <v>0.98787878787878791</v>
      </c>
      <c r="K7" s="4">
        <f ca="1">CORREL(OFFSET(Rank!$B$2:$B$11, 0, $A7), OFFSET(Rank!$B$2:$B$11, 0, K$1))</f>
        <v>-0.28484848484848485</v>
      </c>
      <c r="L7" s="4">
        <f ca="1">CORREL(OFFSET(Rank!$B$2:$B$11, 0, $A7), OFFSET(Rank!$B$2:$B$11, 0, L$1))</f>
        <v>-0.42553388057604524</v>
      </c>
      <c r="M7" s="4">
        <f ca="1">CORREL(OFFSET(Rank!$B$2:$B$11, 0, $A7), OFFSET(Rank!$B$2:$B$11, 0, M$1))</f>
        <v>-0.74391626864930693</v>
      </c>
      <c r="N7" s="4">
        <f ca="1">CORREL(OFFSET(Rank!$B$2:$B$11, 0, $A7), OFFSET(Rank!$B$2:$B$11, 0, N$1))</f>
        <v>-0.67272727272727273</v>
      </c>
      <c r="O7" s="4">
        <f ca="1">CORREL(OFFSET(Rank!$B$2:$B$11, 0, $A7), OFFSET(Rank!$B$2:$B$11, 0, O$1))</f>
        <v>-0.92727272727272736</v>
      </c>
      <c r="P7" s="4">
        <f ca="1">CORREL(OFFSET(Rank!$B$2:$B$11, 0, $A7), OFFSET(Rank!$B$2:$B$11, 0, P$1))</f>
        <v>-0.94387980744853883</v>
      </c>
      <c r="Q7" s="4">
        <f ca="1">CORREL(OFFSET(Rank!$B$2:$B$11, 0, $A7), OFFSET(Rank!$B$2:$B$11, 0, Q$1))</f>
        <v>-0.94387980744853883</v>
      </c>
      <c r="R7" s="4">
        <f ca="1">CORREL(OFFSET(Rank!$B$2:$B$11, 0, $A7), OFFSET(Rank!$B$2:$B$11, 0, R$1))</f>
        <v>1</v>
      </c>
      <c r="S7"/>
      <c r="T7"/>
      <c r="U7"/>
      <c r="V7"/>
      <c r="W7"/>
      <c r="X7"/>
      <c r="Y7"/>
      <c r="Z7"/>
      <c r="AA7"/>
      <c r="AB7"/>
    </row>
    <row r="8" spans="1:28" s="4" customFormat="1" ht="14.5" thickBot="1" x14ac:dyDescent="0.35">
      <c r="A8" s="4">
        <v>6</v>
      </c>
      <c r="B8" s="4">
        <f ca="1">CORREL(OFFSET(Rank!$B$2:$B$11, 0, $A8), OFFSET(Rank!$B$2:$B$11, 0, B$1))</f>
        <v>0.8902439024390244</v>
      </c>
      <c r="C8" s="4">
        <f ca="1">CORREL(OFFSET(Rank!$B$2:$B$11, 0, $A8), OFFSET(Rank!$B$2:$B$11, 0, C$1))</f>
        <v>-0.60060975609756095</v>
      </c>
      <c r="D8" s="4">
        <f ca="1">CORREL(OFFSET(Rank!$B$2:$B$11, 0, $A8), OFFSET(Rank!$B$2:$B$11, 0, D$1))</f>
        <v>0.8902439024390244</v>
      </c>
      <c r="E8" s="4">
        <f ca="1">CORREL(OFFSET(Rank!$B$2:$B$11, 0, $A8), OFFSET(Rank!$B$2:$B$11, 0, E$1))</f>
        <v>0.93009548183049895</v>
      </c>
      <c r="F8" s="4">
        <f ca="1">CORREL(OFFSET(Rank!$B$2:$B$11, 0, $A8), OFFSET(Rank!$B$2:$B$11, 0, F$1))</f>
        <v>0.93272607397551033</v>
      </c>
      <c r="G8" s="4">
        <f ca="1">CORREL(OFFSET(Rank!$B$2:$B$11, 0, $A8), OFFSET(Rank!$B$2:$B$11, 0, G$1))</f>
        <v>0.93009548183049895</v>
      </c>
      <c r="H8" s="4">
        <v>0</v>
      </c>
      <c r="I8" s="4">
        <f ca="1">CORREL(OFFSET(Rank!$B$2:$B$11, 0, $A8), OFFSET(Rank!$B$2:$B$11, 0, I$1))</f>
        <v>0.4451219512195122</v>
      </c>
      <c r="J8" s="4">
        <f ca="1">CORREL(OFFSET(Rank!$B$2:$B$11, 0, $A8), OFFSET(Rank!$B$2:$B$11, 0, J$1))</f>
        <v>0.9604907590145022</v>
      </c>
      <c r="K8" s="4">
        <f ca="1">CORREL(OFFSET(Rank!$B$2:$B$11, 0, $A8), OFFSET(Rank!$B$2:$B$11, 0, K$1))</f>
        <v>-0.11550205329921227</v>
      </c>
      <c r="L8" s="4">
        <f ca="1">CORREL(OFFSET(Rank!$B$2:$B$11, 0, $A8), OFFSET(Rank!$B$2:$B$11, 0, L$1))</f>
        <v>-0.2225609756097561</v>
      </c>
      <c r="M8" s="4">
        <f ca="1">CORREL(OFFSET(Rank!$B$2:$B$11, 0, $A8), OFFSET(Rank!$B$2:$B$11, 0, M$1))</f>
        <v>-0.75535521400639682</v>
      </c>
      <c r="N8" s="4">
        <f ca="1">CORREL(OFFSET(Rank!$B$2:$B$11, 0, $A8), OFFSET(Rank!$B$2:$B$11, 0, N$1))</f>
        <v>-0.46200821319684909</v>
      </c>
      <c r="O8" s="4">
        <f ca="1">CORREL(OFFSET(Rank!$B$2:$B$11, 0, $A8), OFFSET(Rank!$B$2:$B$11, 0, O$1))</f>
        <v>-0.97872792532490416</v>
      </c>
      <c r="P8" s="4">
        <f ca="1">CORREL(OFFSET(Rank!$B$2:$B$11, 0, $A8), OFFSET(Rank!$B$2:$B$11, 0, P$1))</f>
        <v>-0.87912789380074652</v>
      </c>
      <c r="Q8" s="4">
        <f ca="1">CORREL(OFFSET(Rank!$B$2:$B$11, 0, $A8), OFFSET(Rank!$B$2:$B$11, 0, Q$1))</f>
        <v>-0.87912789380074652</v>
      </c>
      <c r="R8" s="4">
        <f ca="1">CORREL(OFFSET(Rank!$B$2:$B$11, 0, $A8), OFFSET(Rank!$B$2:$B$11, 0, R$1))</f>
        <v>0.93009548183049895</v>
      </c>
      <c r="S8"/>
      <c r="T8"/>
      <c r="U8"/>
      <c r="V8"/>
      <c r="W8"/>
      <c r="X8"/>
      <c r="Y8"/>
      <c r="Z8"/>
      <c r="AA8"/>
      <c r="AB8"/>
    </row>
    <row r="9" spans="1:28" s="4" customFormat="1" ht="14.5" thickBot="1" x14ac:dyDescent="0.35">
      <c r="A9" s="4">
        <v>7</v>
      </c>
      <c r="B9" s="4">
        <f ca="1">CORREL(OFFSET(Rank!$B$2:$B$11, 0, $A9), OFFSET(Rank!$B$2:$B$11, 0, B$1))</f>
        <v>0.54878048780487809</v>
      </c>
      <c r="C9" s="4">
        <f ca="1">CORREL(OFFSET(Rank!$B$2:$B$11, 0, $A9), OFFSET(Rank!$B$2:$B$11, 0, C$1))</f>
        <v>-0.25</v>
      </c>
      <c r="D9" s="4">
        <f ca="1">CORREL(OFFSET(Rank!$B$2:$B$11, 0, $A9), OFFSET(Rank!$B$2:$B$11, 0, D$1))</f>
        <v>0.54878048780487809</v>
      </c>
      <c r="E9" s="4">
        <f ca="1">CORREL(OFFSET(Rank!$B$2:$B$11, 0, $A9), OFFSET(Rank!$B$2:$B$11, 0, E$1))</f>
        <v>0.66261704261127052</v>
      </c>
      <c r="F9" s="4">
        <f ca="1">CORREL(OFFSET(Rank!$B$2:$B$11, 0, $A9), OFFSET(Rank!$B$2:$B$11, 0, F$1))</f>
        <v>0.6513791926451924</v>
      </c>
      <c r="G9" s="4">
        <f ca="1">CORREL(OFFSET(Rank!$B$2:$B$11, 0, $A9), OFFSET(Rank!$B$2:$B$11, 0, G$1))</f>
        <v>0.66261704261127052</v>
      </c>
      <c r="H9" s="4">
        <f ca="1">CORREL(OFFSET(Rank!$B$2:$B$11, 0, $A9), OFFSET(Rank!$B$2:$B$11, 0, H$1))</f>
        <v>0.4451219512195122</v>
      </c>
      <c r="I9" s="4">
        <v>0</v>
      </c>
      <c r="J9" s="4">
        <f ca="1">CORREL(OFFSET(Rank!$B$2:$B$11, 0, $A9), OFFSET(Rank!$B$2:$B$11, 0, J$1))</f>
        <v>0.62006365455366586</v>
      </c>
      <c r="K9" s="4">
        <f ca="1">CORREL(OFFSET(Rank!$B$2:$B$11, 0, $A9), OFFSET(Rank!$B$2:$B$11, 0, K$1))</f>
        <v>-0.44985010232324785</v>
      </c>
      <c r="L9" s="4">
        <f ca="1">CORREL(OFFSET(Rank!$B$2:$B$11, 0, $A9), OFFSET(Rank!$B$2:$B$11, 0, L$1))</f>
        <v>-0.60365853658536595</v>
      </c>
      <c r="M9" s="4">
        <f ca="1">CORREL(OFFSET(Rank!$B$2:$B$11, 0, $A9), OFFSET(Rank!$B$2:$B$11, 0, M$1))</f>
        <v>-0.48624080577739714</v>
      </c>
      <c r="N9" s="4">
        <f ca="1">CORREL(OFFSET(Rank!$B$2:$B$11, 0, $A9), OFFSET(Rank!$B$2:$B$11, 0, N$1))</f>
        <v>-0.76596098503688148</v>
      </c>
      <c r="O9" s="4">
        <f ca="1">CORREL(OFFSET(Rank!$B$2:$B$11, 0, $A9), OFFSET(Rank!$B$2:$B$11, 0, O$1))</f>
        <v>-0.42553388057604524</v>
      </c>
      <c r="P9" s="4">
        <f ca="1">CORREL(OFFSET(Rank!$B$2:$B$11, 0, $A9), OFFSET(Rank!$B$2:$B$11, 0, P$1))</f>
        <v>-0.78896093033400327</v>
      </c>
      <c r="Q9" s="4">
        <f ca="1">CORREL(OFFSET(Rank!$B$2:$B$11, 0, $A9), OFFSET(Rank!$B$2:$B$11, 0, Q$1))</f>
        <v>-0.78896093033400327</v>
      </c>
      <c r="R9" s="4">
        <f ca="1">CORREL(OFFSET(Rank!$B$2:$B$11, 0, $A9), OFFSET(Rank!$B$2:$B$11, 0, R$1))</f>
        <v>0.66261704261127052</v>
      </c>
      <c r="S9"/>
      <c r="T9"/>
      <c r="U9"/>
      <c r="V9"/>
      <c r="W9"/>
      <c r="X9"/>
      <c r="Y9"/>
      <c r="Z9"/>
      <c r="AA9"/>
      <c r="AB9"/>
    </row>
    <row r="10" spans="1:28" s="4" customFormat="1" ht="14.5" thickBot="1" x14ac:dyDescent="0.35">
      <c r="A10" s="4">
        <v>8</v>
      </c>
      <c r="B10" s="4">
        <f ca="1">CORREL(OFFSET(Rank!$B$2:$B$11, 0, $A10), OFFSET(Rank!$B$2:$B$11, 0, B$1))</f>
        <v>0.9483326481409009</v>
      </c>
      <c r="C10" s="4">
        <f ca="1">CORREL(OFFSET(Rank!$B$2:$B$11, 0, $A10), OFFSET(Rank!$B$2:$B$11, 0, C$1))</f>
        <v>-0.58966837736966271</v>
      </c>
      <c r="D10" s="4">
        <f ca="1">CORREL(OFFSET(Rank!$B$2:$B$11, 0, $A10), OFFSET(Rank!$B$2:$B$11, 0, D$1))</f>
        <v>0.9483326481409009</v>
      </c>
      <c r="E10" s="4">
        <f ca="1">CORREL(OFFSET(Rank!$B$2:$B$11, 0, $A10), OFFSET(Rank!$B$2:$B$11, 0, E$1))</f>
        <v>0.98787878787878791</v>
      </c>
      <c r="F10" s="4">
        <f ca="1">CORREL(OFFSET(Rank!$B$2:$B$11, 0, $A10), OFFSET(Rank!$B$2:$B$11, 0, F$1))</f>
        <v>0.99392091631013979</v>
      </c>
      <c r="G10" s="4">
        <f ca="1">CORREL(OFFSET(Rank!$B$2:$B$11, 0, $A10), OFFSET(Rank!$B$2:$B$11, 0, G$1))</f>
        <v>0.98787878787878791</v>
      </c>
      <c r="H10" s="4">
        <f ca="1">CORREL(OFFSET(Rank!$B$2:$B$11, 0, $A10), OFFSET(Rank!$B$2:$B$11, 0, H$1))</f>
        <v>0.9604907590145022</v>
      </c>
      <c r="I10" s="4">
        <f ca="1">CORREL(OFFSET(Rank!$B$2:$B$11, 0, $A10), OFFSET(Rank!$B$2:$B$11, 0, I$1))</f>
        <v>0.62006365455366586</v>
      </c>
      <c r="J10" s="4">
        <v>0</v>
      </c>
      <c r="K10" s="4">
        <f ca="1">CORREL(OFFSET(Rank!$B$2:$B$11, 0, $A10), OFFSET(Rank!$B$2:$B$11, 0, K$1))</f>
        <v>-0.24848484848484848</v>
      </c>
      <c r="L10" s="4">
        <f ca="1">CORREL(OFFSET(Rank!$B$2:$B$11, 0, $A10), OFFSET(Rank!$B$2:$B$11, 0, L$1))</f>
        <v>-0.37082238164483944</v>
      </c>
      <c r="M10" s="4">
        <f ca="1">CORREL(OFFSET(Rank!$B$2:$B$11, 0, $A10), OFFSET(Rank!$B$2:$B$11, 0, M$1))</f>
        <v>-0.78050231464845332</v>
      </c>
      <c r="N10" s="4">
        <f ca="1">CORREL(OFFSET(Rank!$B$2:$B$11, 0, $A10), OFFSET(Rank!$B$2:$B$11, 0, N$1))</f>
        <v>-0.6</v>
      </c>
      <c r="O10" s="4">
        <f ca="1">CORREL(OFFSET(Rank!$B$2:$B$11, 0, $A10), OFFSET(Rank!$B$2:$B$11, 0, O$1))</f>
        <v>-0.96363636363636362</v>
      </c>
      <c r="P10" s="4">
        <f ca="1">CORREL(OFFSET(Rank!$B$2:$B$11, 0, $A10), OFFSET(Rank!$B$2:$B$11, 0, P$1))</f>
        <v>-0.94387980744853883</v>
      </c>
      <c r="Q10" s="4">
        <f ca="1">CORREL(OFFSET(Rank!$B$2:$B$11, 0, $A10), OFFSET(Rank!$B$2:$B$11, 0, Q$1))</f>
        <v>-0.94387980744853883</v>
      </c>
      <c r="R10" s="4">
        <f ca="1">CORREL(OFFSET(Rank!$B$2:$B$11, 0, $A10), OFFSET(Rank!$B$2:$B$11, 0, R$1))</f>
        <v>0.98787878787878791</v>
      </c>
      <c r="S10"/>
      <c r="T10"/>
      <c r="U10"/>
      <c r="V10"/>
      <c r="W10"/>
      <c r="X10"/>
      <c r="Y10"/>
      <c r="Z10"/>
      <c r="AA10"/>
      <c r="AB10"/>
    </row>
    <row r="11" spans="1:28" s="4" customFormat="1" ht="14.5" thickBot="1" x14ac:dyDescent="0.35">
      <c r="A11" s="4">
        <v>9</v>
      </c>
      <c r="B11" s="4">
        <f ca="1">CORREL(OFFSET(Rank!$B$2:$B$11, 0, $A11), OFFSET(Rank!$B$2:$B$11, 0, B$1))</f>
        <v>-0.36474332620803879</v>
      </c>
      <c r="C11" s="4">
        <f ca="1">CORREL(OFFSET(Rank!$B$2:$B$11, 0, $A11), OFFSET(Rank!$B$2:$B$11, 0, C$1))</f>
        <v>9.7264886988810348E-2</v>
      </c>
      <c r="D11" s="4">
        <f ca="1">CORREL(OFFSET(Rank!$B$2:$B$11, 0, $A11), OFFSET(Rank!$B$2:$B$11, 0, D$1))</f>
        <v>-0.36474332620803879</v>
      </c>
      <c r="E11" s="4">
        <f ca="1">CORREL(OFFSET(Rank!$B$2:$B$11, 0, $A11), OFFSET(Rank!$B$2:$B$11, 0, E$1))</f>
        <v>-0.28484848484848485</v>
      </c>
      <c r="F11" s="4">
        <f ca="1">CORREL(OFFSET(Rank!$B$2:$B$11, 0, $A11), OFFSET(Rank!$B$2:$B$11, 0, F$1))</f>
        <v>-0.25610232199402372</v>
      </c>
      <c r="G11" s="4">
        <f ca="1">CORREL(OFFSET(Rank!$B$2:$B$11, 0, $A11), OFFSET(Rank!$B$2:$B$11, 0, G$1))</f>
        <v>-0.28484848484848485</v>
      </c>
      <c r="H11" s="4">
        <f ca="1">CORREL(OFFSET(Rank!$B$2:$B$11, 0, $A11), OFFSET(Rank!$B$2:$B$11, 0, H$1))</f>
        <v>-0.11550205329921227</v>
      </c>
      <c r="I11" s="4">
        <f ca="1">CORREL(OFFSET(Rank!$B$2:$B$11, 0, $A11), OFFSET(Rank!$B$2:$B$11, 0, I$1))</f>
        <v>-0.44985010232324785</v>
      </c>
      <c r="J11" s="4">
        <f ca="1">CORREL(OFFSET(Rank!$B$2:$B$11, 0, $A11), OFFSET(Rank!$B$2:$B$11, 0, J$1))</f>
        <v>-0.24848484848484848</v>
      </c>
      <c r="K11" s="4">
        <v>0</v>
      </c>
      <c r="L11" s="4">
        <f ca="1">CORREL(OFFSET(Rank!$B$2:$B$11, 0, $A11), OFFSET(Rank!$B$2:$B$11, 0, L$1))</f>
        <v>0.77204004047368202</v>
      </c>
      <c r="M11" s="4">
        <f ca="1">CORREL(OFFSET(Rank!$B$2:$B$11, 0, $A11), OFFSET(Rank!$B$2:$B$11, 0, M$1))</f>
        <v>-7.926976633148354E-2</v>
      </c>
      <c r="N11" s="4">
        <f ca="1">CORREL(OFFSET(Rank!$B$2:$B$11, 0, $A11), OFFSET(Rank!$B$2:$B$11, 0, N$1))</f>
        <v>0.45454545454545453</v>
      </c>
      <c r="O11" s="4">
        <f ca="1">CORREL(OFFSET(Rank!$B$2:$B$11, 0, $A11), OFFSET(Rank!$B$2:$B$11, 0, O$1))</f>
        <v>9.0909090909090912E-2</v>
      </c>
      <c r="P11" s="4">
        <f ca="1">CORREL(OFFSET(Rank!$B$2:$B$11, 0, $A11), OFFSET(Rank!$B$2:$B$11, 0, P$1))</f>
        <v>0.22473328748774735</v>
      </c>
      <c r="Q11" s="4">
        <f ca="1">CORREL(OFFSET(Rank!$B$2:$B$11, 0, $A11), OFFSET(Rank!$B$2:$B$11, 0, Q$1))</f>
        <v>0.22473328748774735</v>
      </c>
      <c r="R11" s="4">
        <f ca="1">CORREL(OFFSET(Rank!$B$2:$B$11, 0, $A11), OFFSET(Rank!$B$2:$B$11, 0, R$1))</f>
        <v>-0.28484848484848485</v>
      </c>
      <c r="S11"/>
      <c r="T11"/>
      <c r="U11"/>
      <c r="V11"/>
      <c r="W11"/>
      <c r="X11"/>
      <c r="Y11"/>
      <c r="Z11"/>
      <c r="AA11"/>
      <c r="AB11"/>
    </row>
    <row r="12" spans="1:28" s="4" customFormat="1" ht="14.5" thickBot="1" x14ac:dyDescent="0.35">
      <c r="A12" s="4">
        <v>10</v>
      </c>
      <c r="B12" s="4">
        <f ca="1">CORREL(OFFSET(Rank!$B$2:$B$11, 0, $A12), OFFSET(Rank!$B$2:$B$11, 0, B$1))</f>
        <v>-0.47865853658536589</v>
      </c>
      <c r="C12" s="4">
        <f ca="1">CORREL(OFFSET(Rank!$B$2:$B$11, 0, $A12), OFFSET(Rank!$B$2:$B$11, 0, C$1))</f>
        <v>0.41158536585365857</v>
      </c>
      <c r="D12" s="4">
        <f ca="1">CORREL(OFFSET(Rank!$B$2:$B$11, 0, $A12), OFFSET(Rank!$B$2:$B$11, 0, D$1))</f>
        <v>-0.47865853658536589</v>
      </c>
      <c r="E12" s="4">
        <f ca="1">CORREL(OFFSET(Rank!$B$2:$B$11, 0, $A12), OFFSET(Rank!$B$2:$B$11, 0, E$1))</f>
        <v>-0.42553388057604524</v>
      </c>
      <c r="F12" s="4">
        <f ca="1">CORREL(OFFSET(Rank!$B$2:$B$11, 0, $A12), OFFSET(Rank!$B$2:$B$11, 0, F$1))</f>
        <v>-0.39449725751751091</v>
      </c>
      <c r="G12" s="4">
        <f ca="1">CORREL(OFFSET(Rank!$B$2:$B$11, 0, $A12), OFFSET(Rank!$B$2:$B$11, 0, G$1))</f>
        <v>-0.42553388057604524</v>
      </c>
      <c r="H12" s="4">
        <f ca="1">CORREL(OFFSET(Rank!$B$2:$B$11, 0, $A12), OFFSET(Rank!$B$2:$B$11, 0, H$1))</f>
        <v>-0.2225609756097561</v>
      </c>
      <c r="I12" s="4">
        <f ca="1">CORREL(OFFSET(Rank!$B$2:$B$11, 0, $A12), OFFSET(Rank!$B$2:$B$11, 0, I$1))</f>
        <v>-0.60365853658536595</v>
      </c>
      <c r="J12" s="4">
        <f ca="1">CORREL(OFFSET(Rank!$B$2:$B$11, 0, $A12), OFFSET(Rank!$B$2:$B$11, 0, J$1))</f>
        <v>-0.37082238164483944</v>
      </c>
      <c r="K12" s="4">
        <f ca="1">CORREL(OFFSET(Rank!$B$2:$B$11, 0, $A12), OFFSET(Rank!$B$2:$B$11, 0, K$1))</f>
        <v>0.77204004047368202</v>
      </c>
      <c r="L12" s="4">
        <v>0</v>
      </c>
      <c r="M12" s="4">
        <f ca="1">CORREL(OFFSET(Rank!$B$2:$B$11, 0, $A12), OFFSET(Rank!$B$2:$B$11, 0, M$1))</f>
        <v>0.18348709651977252</v>
      </c>
      <c r="N12" s="4">
        <f ca="1">CORREL(OFFSET(Rank!$B$2:$B$11, 0, $A12), OFFSET(Rank!$B$2:$B$11, 0, N$1))</f>
        <v>0.68693326435847313</v>
      </c>
      <c r="O12" s="4">
        <f ca="1">CORREL(OFFSET(Rank!$B$2:$B$11, 0, $A12), OFFSET(Rank!$B$2:$B$11, 0, O$1))</f>
        <v>0.21276694028802262</v>
      </c>
      <c r="P12" s="4">
        <f ca="1">CORREL(OFFSET(Rank!$B$2:$B$11, 0, $A12), OFFSET(Rank!$B$2:$B$11, 0, P$1))</f>
        <v>0.40575133560034454</v>
      </c>
      <c r="Q12" s="4">
        <f ca="1">CORREL(OFFSET(Rank!$B$2:$B$11, 0, $A12), OFFSET(Rank!$B$2:$B$11, 0, Q$1))</f>
        <v>0.40575133560034454</v>
      </c>
      <c r="R12" s="4">
        <f ca="1">CORREL(OFFSET(Rank!$B$2:$B$11, 0, $A12), OFFSET(Rank!$B$2:$B$11, 0, R$1))</f>
        <v>-0.42553388057604524</v>
      </c>
      <c r="S12"/>
      <c r="T12"/>
      <c r="U12"/>
      <c r="V12"/>
      <c r="W12"/>
      <c r="X12"/>
      <c r="Y12"/>
      <c r="Z12"/>
      <c r="AA12"/>
      <c r="AB12"/>
    </row>
    <row r="13" spans="1:28" s="4" customFormat="1" ht="14.5" thickBot="1" x14ac:dyDescent="0.35">
      <c r="A13" s="4">
        <v>11</v>
      </c>
      <c r="B13" s="4">
        <f ca="1">CORREL(OFFSET(Rank!$B$2:$B$11, 0, $A13), OFFSET(Rank!$B$2:$B$11, 0, B$1))</f>
        <v>-0.62691424644255611</v>
      </c>
      <c r="C13" s="4">
        <f ca="1">CORREL(OFFSET(Rank!$B$2:$B$11, 0, $A13), OFFSET(Rank!$B$2:$B$11, 0, C$1))</f>
        <v>0.37309042959020411</v>
      </c>
      <c r="D13" s="4">
        <f ca="1">CORREL(OFFSET(Rank!$B$2:$B$11, 0, $A13), OFFSET(Rank!$B$2:$B$11, 0, D$1))</f>
        <v>-0.62691424644255611</v>
      </c>
      <c r="E13" s="4">
        <f ca="1">CORREL(OFFSET(Rank!$B$2:$B$11, 0, $A13), OFFSET(Rank!$B$2:$B$11, 0, E$1))</f>
        <v>-0.74391626864930693</v>
      </c>
      <c r="F13" s="4">
        <f ca="1">CORREL(OFFSET(Rank!$B$2:$B$11, 0, $A13), OFFSET(Rank!$B$2:$B$11, 0, F$1))</f>
        <v>-0.75766871165644167</v>
      </c>
      <c r="G13" s="4">
        <f ca="1">CORREL(OFFSET(Rank!$B$2:$B$11, 0, $A13), OFFSET(Rank!$B$2:$B$11, 0, G$1))</f>
        <v>-0.74391626864930693</v>
      </c>
      <c r="H13" s="4">
        <f ca="1">CORREL(OFFSET(Rank!$B$2:$B$11, 0, $A13), OFFSET(Rank!$B$2:$B$11, 0, H$1))</f>
        <v>-0.75535521400639682</v>
      </c>
      <c r="I13" s="4">
        <f ca="1">CORREL(OFFSET(Rank!$B$2:$B$11, 0, $A13), OFFSET(Rank!$B$2:$B$11, 0, I$1))</f>
        <v>-0.48624080577739714</v>
      </c>
      <c r="J13" s="4">
        <f ca="1">CORREL(OFFSET(Rank!$B$2:$B$11, 0, $A13), OFFSET(Rank!$B$2:$B$11, 0, J$1))</f>
        <v>-0.78050231464845332</v>
      </c>
      <c r="K13" s="4">
        <f ca="1">CORREL(OFFSET(Rank!$B$2:$B$11, 0, $A13), OFFSET(Rank!$B$2:$B$11, 0, K$1))</f>
        <v>-7.926976633148354E-2</v>
      </c>
      <c r="L13" s="4">
        <f ca="1">CORREL(OFFSET(Rank!$B$2:$B$11, 0, $A13), OFFSET(Rank!$B$2:$B$11, 0, L$1))</f>
        <v>0.18348709651977252</v>
      </c>
      <c r="M13" s="4">
        <v>0</v>
      </c>
      <c r="N13" s="4">
        <f ca="1">CORREL(OFFSET(Rank!$B$2:$B$11, 0, $A13), OFFSET(Rank!$B$2:$B$11, 0, N$1))</f>
        <v>0.25000464766083269</v>
      </c>
      <c r="O13" s="4">
        <f ca="1">CORREL(OFFSET(Rank!$B$2:$B$11, 0, $A13), OFFSET(Rank!$B$2:$B$11, 0, O$1))</f>
        <v>0.83538138364717263</v>
      </c>
      <c r="P13" s="4">
        <f ca="1">CORREL(OFFSET(Rank!$B$2:$B$11, 0, $A13), OFFSET(Rank!$B$2:$B$11, 0, P$1))</f>
        <v>0.74615579221612205</v>
      </c>
      <c r="Q13" s="4">
        <f ca="1">CORREL(OFFSET(Rank!$B$2:$B$11, 0, $A13), OFFSET(Rank!$B$2:$B$11, 0, Q$1))</f>
        <v>0.74615579221612205</v>
      </c>
      <c r="R13" s="4">
        <f ca="1">CORREL(OFFSET(Rank!$B$2:$B$11, 0, $A13), OFFSET(Rank!$B$2:$B$11, 0, R$1))</f>
        <v>-0.74391626864930693</v>
      </c>
      <c r="S13"/>
      <c r="T13"/>
      <c r="U13"/>
      <c r="V13"/>
      <c r="W13"/>
      <c r="X13"/>
      <c r="Y13"/>
      <c r="Z13"/>
      <c r="AA13"/>
      <c r="AB13"/>
    </row>
    <row r="14" spans="1:28" s="4" customFormat="1" ht="14.5" thickBot="1" x14ac:dyDescent="0.35">
      <c r="A14" s="4">
        <v>12</v>
      </c>
      <c r="B14" s="4">
        <f ca="1">CORREL(OFFSET(Rank!$B$2:$B$11, 0, $A14), OFFSET(Rank!$B$2:$B$11, 0, B$1))</f>
        <v>-0.70517043066887497</v>
      </c>
      <c r="C14" s="4">
        <f ca="1">CORREL(OFFSET(Rank!$B$2:$B$11, 0, $A14), OFFSET(Rank!$B$2:$B$11, 0, C$1))</f>
        <v>0.41945482513924465</v>
      </c>
      <c r="D14" s="4">
        <f ca="1">CORREL(OFFSET(Rank!$B$2:$B$11, 0, $A14), OFFSET(Rank!$B$2:$B$11, 0, D$1))</f>
        <v>-0.70517043066887497</v>
      </c>
      <c r="E14" s="4">
        <f ca="1">CORREL(OFFSET(Rank!$B$2:$B$11, 0, $A14), OFFSET(Rank!$B$2:$B$11, 0, E$1))</f>
        <v>-0.67272727272727273</v>
      </c>
      <c r="F14" s="4">
        <f ca="1">CORREL(OFFSET(Rank!$B$2:$B$11, 0, $A14), OFFSET(Rank!$B$2:$B$11, 0, F$1))</f>
        <v>-0.64635347931825038</v>
      </c>
      <c r="G14" s="4">
        <f ca="1">CORREL(OFFSET(Rank!$B$2:$B$11, 0, $A14), OFFSET(Rank!$B$2:$B$11, 0, G$1))</f>
        <v>-0.67272727272727273</v>
      </c>
      <c r="H14" s="4">
        <f ca="1">CORREL(OFFSET(Rank!$B$2:$B$11, 0, $A14), OFFSET(Rank!$B$2:$B$11, 0, H$1))</f>
        <v>-0.46200821319684909</v>
      </c>
      <c r="I14" s="4">
        <f ca="1">CORREL(OFFSET(Rank!$B$2:$B$11, 0, $A14), OFFSET(Rank!$B$2:$B$11, 0, I$1))</f>
        <v>-0.76596098503688148</v>
      </c>
      <c r="J14" s="4">
        <f ca="1">CORREL(OFFSET(Rank!$B$2:$B$11, 0, $A14), OFFSET(Rank!$B$2:$B$11, 0, J$1))</f>
        <v>-0.6</v>
      </c>
      <c r="K14" s="4">
        <f ca="1">CORREL(OFFSET(Rank!$B$2:$B$11, 0, $A14), OFFSET(Rank!$B$2:$B$11, 0, K$1))</f>
        <v>0.45454545454545453</v>
      </c>
      <c r="L14" s="4">
        <f ca="1">CORREL(OFFSET(Rank!$B$2:$B$11, 0, $A14), OFFSET(Rank!$B$2:$B$11, 0, L$1))</f>
        <v>0.68693326435847313</v>
      </c>
      <c r="M14" s="4">
        <f ca="1">CORREL(OFFSET(Rank!$B$2:$B$11, 0, $A14), OFFSET(Rank!$B$2:$B$11, 0, M$1))</f>
        <v>0.25000464766083269</v>
      </c>
      <c r="N14" s="4">
        <v>0</v>
      </c>
      <c r="O14" s="4">
        <f ca="1">CORREL(OFFSET(Rank!$B$2:$B$11, 0, $A14), OFFSET(Rank!$B$2:$B$11, 0, O$1))</f>
        <v>0.39393939393939392</v>
      </c>
      <c r="P14" s="4">
        <f ca="1">CORREL(OFFSET(Rank!$B$2:$B$11, 0, $A14), OFFSET(Rank!$B$2:$B$11, 0, P$1))</f>
        <v>0.71914651996079149</v>
      </c>
      <c r="Q14" s="4">
        <f ca="1">CORREL(OFFSET(Rank!$B$2:$B$11, 0, $A14), OFFSET(Rank!$B$2:$B$11, 0, Q$1))</f>
        <v>0.71914651996079149</v>
      </c>
      <c r="R14" s="4">
        <f ca="1">CORREL(OFFSET(Rank!$B$2:$B$11, 0, $A14), OFFSET(Rank!$B$2:$B$11, 0, R$1))</f>
        <v>-0.67272727272727273</v>
      </c>
      <c r="S14"/>
      <c r="T14"/>
      <c r="U14"/>
      <c r="V14"/>
      <c r="W14"/>
      <c r="X14"/>
      <c r="Y14"/>
      <c r="Z14"/>
      <c r="AA14"/>
      <c r="AB14"/>
    </row>
    <row r="15" spans="1:28" s="4" customFormat="1" ht="14.5" thickBot="1" x14ac:dyDescent="0.35">
      <c r="A15" s="4">
        <v>13</v>
      </c>
      <c r="B15" s="4">
        <f ca="1">CORREL(OFFSET(Rank!$B$2:$B$11, 0, $A15), OFFSET(Rank!$B$2:$B$11, 0, B$1))</f>
        <v>-0.88754209377289439</v>
      </c>
      <c r="C15" s="4">
        <f ca="1">CORREL(OFFSET(Rank!$B$2:$B$11, 0, $A15), OFFSET(Rank!$B$2:$B$11, 0, C$1))</f>
        <v>0.57143121105926076</v>
      </c>
      <c r="D15" s="4">
        <f ca="1">CORREL(OFFSET(Rank!$B$2:$B$11, 0, $A15), OFFSET(Rank!$B$2:$B$11, 0, D$1))</f>
        <v>-0.88754209377289439</v>
      </c>
      <c r="E15" s="4">
        <f ca="1">CORREL(OFFSET(Rank!$B$2:$B$11, 0, $A15), OFFSET(Rank!$B$2:$B$11, 0, E$1))</f>
        <v>-0.92727272727272736</v>
      </c>
      <c r="F15" s="4">
        <f ca="1">CORREL(OFFSET(Rank!$B$2:$B$11, 0, $A15), OFFSET(Rank!$B$2:$B$11, 0, F$1))</f>
        <v>-0.93904184731142037</v>
      </c>
      <c r="G15" s="4">
        <f ca="1">CORREL(OFFSET(Rank!$B$2:$B$11, 0, $A15), OFFSET(Rank!$B$2:$B$11, 0, G$1))</f>
        <v>-0.92727272727272736</v>
      </c>
      <c r="H15" s="4">
        <f ca="1">CORREL(OFFSET(Rank!$B$2:$B$11, 0, $A15), OFFSET(Rank!$B$2:$B$11, 0, H$1))</f>
        <v>-0.97872792532490416</v>
      </c>
      <c r="I15" s="4">
        <f ca="1">CORREL(OFFSET(Rank!$B$2:$B$11, 0, $A15), OFFSET(Rank!$B$2:$B$11, 0, I$1))</f>
        <v>-0.42553388057604524</v>
      </c>
      <c r="J15" s="4">
        <f ca="1">CORREL(OFFSET(Rank!$B$2:$B$11, 0, $A15), OFFSET(Rank!$B$2:$B$11, 0, J$1))</f>
        <v>-0.96363636363636362</v>
      </c>
      <c r="K15" s="4">
        <f ca="1">CORREL(OFFSET(Rank!$B$2:$B$11, 0, $A15), OFFSET(Rank!$B$2:$B$11, 0, K$1))</f>
        <v>9.0909090909090912E-2</v>
      </c>
      <c r="L15" s="4">
        <f ca="1">CORREL(OFFSET(Rank!$B$2:$B$11, 0, $A15), OFFSET(Rank!$B$2:$B$11, 0, L$1))</f>
        <v>0.21276694028802262</v>
      </c>
      <c r="M15" s="4">
        <f ca="1">CORREL(OFFSET(Rank!$B$2:$B$11, 0, $A15), OFFSET(Rank!$B$2:$B$11, 0, M$1))</f>
        <v>0.83538138364717263</v>
      </c>
      <c r="N15" s="4">
        <f ca="1">CORREL(OFFSET(Rank!$B$2:$B$11, 0, $A15), OFFSET(Rank!$B$2:$B$11, 0, N$1))</f>
        <v>0.39393939393939392</v>
      </c>
      <c r="O15" s="4">
        <v>0</v>
      </c>
      <c r="P15" s="4">
        <f ca="1">CORREL(OFFSET(Rank!$B$2:$B$11, 0, $A15), OFFSET(Rank!$B$2:$B$11, 0, P$1))</f>
        <v>0.85398649245344005</v>
      </c>
      <c r="Q15" s="4">
        <f ca="1">CORREL(OFFSET(Rank!$B$2:$B$11, 0, $A15), OFFSET(Rank!$B$2:$B$11, 0, Q$1))</f>
        <v>0.85398649245344005</v>
      </c>
      <c r="R15" s="4">
        <f ca="1">CORREL(OFFSET(Rank!$B$2:$B$11, 0, $A15), OFFSET(Rank!$B$2:$B$11, 0, R$1))</f>
        <v>-0.92727272727272736</v>
      </c>
      <c r="S15"/>
      <c r="T15"/>
      <c r="U15"/>
      <c r="V15"/>
      <c r="W15"/>
      <c r="X15"/>
      <c r="Y15"/>
      <c r="Z15"/>
      <c r="AA15"/>
      <c r="AB15"/>
    </row>
    <row r="16" spans="1:28" s="4" customFormat="1" ht="14.5" thickBot="1" x14ac:dyDescent="0.35">
      <c r="A16" s="4">
        <v>14</v>
      </c>
      <c r="B16" s="4">
        <f ca="1">CORREL(OFFSET(Rank!$B$2:$B$11, 0, $A16), OFFSET(Rank!$B$2:$B$11, 0, B$1))</f>
        <v>-0.85658615293406071</v>
      </c>
      <c r="C16" s="4">
        <f ca="1">CORREL(OFFSET(Rank!$B$2:$B$11, 0, $A16), OFFSET(Rank!$B$2:$B$11, 0, C$1))</f>
        <v>0.56354352166714516</v>
      </c>
      <c r="D16" s="4">
        <f ca="1">CORREL(OFFSET(Rank!$B$2:$B$11, 0, $A16), OFFSET(Rank!$B$2:$B$11, 0, D$1))</f>
        <v>-0.85658615293406071</v>
      </c>
      <c r="E16" s="4">
        <f ca="1">CORREL(OFFSET(Rank!$B$2:$B$11, 0, $A16), OFFSET(Rank!$B$2:$B$11, 0, E$1))</f>
        <v>-0.94387980744853883</v>
      </c>
      <c r="F16" s="4">
        <f ca="1">CORREL(OFFSET(Rank!$B$2:$B$11, 0, $A16), OFFSET(Rank!$B$2:$B$11, 0, F$1))</f>
        <v>-0.94965282645688254</v>
      </c>
      <c r="G16" s="4">
        <f ca="1">CORREL(OFFSET(Rank!$B$2:$B$11, 0, $A16), OFFSET(Rank!$B$2:$B$11, 0, G$1))</f>
        <v>-0.94387980744853883</v>
      </c>
      <c r="H16" s="4">
        <f ca="1">CORREL(OFFSET(Rank!$B$2:$B$11, 0, $A16), OFFSET(Rank!$B$2:$B$11, 0, H$1))</f>
        <v>-0.87912789380074652</v>
      </c>
      <c r="I16" s="4">
        <f ca="1">CORREL(OFFSET(Rank!$B$2:$B$11, 0, $A16), OFFSET(Rank!$B$2:$B$11, 0, I$1))</f>
        <v>-0.78896093033400327</v>
      </c>
      <c r="J16" s="4">
        <f ca="1">CORREL(OFFSET(Rank!$B$2:$B$11, 0, $A16), OFFSET(Rank!$B$2:$B$11, 0, J$1))</f>
        <v>-0.94387980744853883</v>
      </c>
      <c r="K16" s="4">
        <f ca="1">CORREL(OFFSET(Rank!$B$2:$B$11, 0, $A16), OFFSET(Rank!$B$2:$B$11, 0, K$1))</f>
        <v>0.22473328748774735</v>
      </c>
      <c r="L16" s="4">
        <f ca="1">CORREL(OFFSET(Rank!$B$2:$B$11, 0, $A16), OFFSET(Rank!$B$2:$B$11, 0, L$1))</f>
        <v>0.40575133560034454</v>
      </c>
      <c r="M16" s="4">
        <f ca="1">CORREL(OFFSET(Rank!$B$2:$B$11, 0, $A16), OFFSET(Rank!$B$2:$B$11, 0, M$1))</f>
        <v>0.74615579221612205</v>
      </c>
      <c r="N16" s="4">
        <f ca="1">CORREL(OFFSET(Rank!$B$2:$B$11, 0, $A16), OFFSET(Rank!$B$2:$B$11, 0, N$1))</f>
        <v>0.71914651996079149</v>
      </c>
      <c r="O16" s="4">
        <f ca="1">CORREL(OFFSET(Rank!$B$2:$B$11, 0, $A16), OFFSET(Rank!$B$2:$B$11, 0, O$1))</f>
        <v>0.85398649245344005</v>
      </c>
      <c r="P16" s="4">
        <v>0</v>
      </c>
      <c r="Q16" s="4">
        <f ca="1">CORREL(OFFSET(Rank!$B$2:$B$11, 0, $A16), OFFSET(Rank!$B$2:$B$11, 0, Q$1))</f>
        <v>0.99999999999999989</v>
      </c>
      <c r="R16" s="4">
        <f ca="1">CORREL(OFFSET(Rank!$B$2:$B$11, 0, $A16), OFFSET(Rank!$B$2:$B$11, 0, R$1))</f>
        <v>-0.94387980744853883</v>
      </c>
      <c r="S16"/>
      <c r="T16"/>
      <c r="U16"/>
      <c r="V16"/>
      <c r="W16"/>
      <c r="X16"/>
      <c r="Y16"/>
      <c r="Z16"/>
      <c r="AA16"/>
      <c r="AB16"/>
    </row>
    <row r="17" spans="1:28" s="4" customFormat="1" ht="14.5" thickBot="1" x14ac:dyDescent="0.35">
      <c r="A17" s="4">
        <v>15</v>
      </c>
      <c r="B17" s="4">
        <f ca="1">CORREL(OFFSET(Rank!$B$2:$B$11, 0, $A17), OFFSET(Rank!$B$2:$B$11, 0, B$1))</f>
        <v>-0.85658615293406071</v>
      </c>
      <c r="C17" s="4">
        <f ca="1">CORREL(OFFSET(Rank!$B$2:$B$11, 0, $A17), OFFSET(Rank!$B$2:$B$11, 0, C$1))</f>
        <v>0.56354352166714516</v>
      </c>
      <c r="D17" s="4">
        <f ca="1">CORREL(OFFSET(Rank!$B$2:$B$11, 0, $A17), OFFSET(Rank!$B$2:$B$11, 0, D$1))</f>
        <v>-0.85658615293406071</v>
      </c>
      <c r="E17" s="4">
        <f ca="1">CORREL(OFFSET(Rank!$B$2:$B$11, 0, $A17), OFFSET(Rank!$B$2:$B$11, 0, E$1))</f>
        <v>-0.94387980744853883</v>
      </c>
      <c r="F17" s="4">
        <f ca="1">CORREL(OFFSET(Rank!$B$2:$B$11, 0, $A17), OFFSET(Rank!$B$2:$B$11, 0, F$1))</f>
        <v>-0.94965282645688254</v>
      </c>
      <c r="G17" s="4">
        <f ca="1">CORREL(OFFSET(Rank!$B$2:$B$11, 0, $A17), OFFSET(Rank!$B$2:$B$11, 0, G$1))</f>
        <v>-0.94387980744853883</v>
      </c>
      <c r="H17" s="4">
        <f ca="1">CORREL(OFFSET(Rank!$B$2:$B$11, 0, $A17), OFFSET(Rank!$B$2:$B$11, 0, H$1))</f>
        <v>-0.87912789380074652</v>
      </c>
      <c r="I17" s="4">
        <f ca="1">CORREL(OFFSET(Rank!$B$2:$B$11, 0, $A17), OFFSET(Rank!$B$2:$B$11, 0, I$1))</f>
        <v>-0.78896093033400327</v>
      </c>
      <c r="J17" s="4">
        <f ca="1">CORREL(OFFSET(Rank!$B$2:$B$11, 0, $A17), OFFSET(Rank!$B$2:$B$11, 0, J$1))</f>
        <v>-0.94387980744853883</v>
      </c>
      <c r="K17" s="4">
        <f ca="1">CORREL(OFFSET(Rank!$B$2:$B$11, 0, $A17), OFFSET(Rank!$B$2:$B$11, 0, K$1))</f>
        <v>0.22473328748774735</v>
      </c>
      <c r="L17" s="4">
        <f ca="1">CORREL(OFFSET(Rank!$B$2:$B$11, 0, $A17), OFFSET(Rank!$B$2:$B$11, 0, L$1))</f>
        <v>0.40575133560034454</v>
      </c>
      <c r="M17" s="4">
        <f ca="1">CORREL(OFFSET(Rank!$B$2:$B$11, 0, $A17), OFFSET(Rank!$B$2:$B$11, 0, M$1))</f>
        <v>0.74615579221612205</v>
      </c>
      <c r="N17" s="4">
        <f ca="1">CORREL(OFFSET(Rank!$B$2:$B$11, 0, $A17), OFFSET(Rank!$B$2:$B$11, 0, N$1))</f>
        <v>0.71914651996079149</v>
      </c>
      <c r="O17" s="4">
        <f ca="1">CORREL(OFFSET(Rank!$B$2:$B$11, 0, $A17), OFFSET(Rank!$B$2:$B$11, 0, O$1))</f>
        <v>0.85398649245344005</v>
      </c>
      <c r="P17" s="4">
        <f ca="1">CORREL(OFFSET(Rank!$B$2:$B$11, 0, $A17), OFFSET(Rank!$B$2:$B$11, 0, P$1))</f>
        <v>0.99999999999999989</v>
      </c>
      <c r="Q17" s="4">
        <v>0</v>
      </c>
      <c r="R17" s="4">
        <f ca="1">CORREL(OFFSET(Rank!$B$2:$B$11, 0, $A17), OFFSET(Rank!$B$2:$B$11, 0, R$1))</f>
        <v>-0.94387980744853883</v>
      </c>
      <c r="S17"/>
      <c r="T17"/>
      <c r="U17"/>
      <c r="V17"/>
      <c r="W17"/>
      <c r="X17"/>
      <c r="Y17"/>
      <c r="Z17"/>
      <c r="AA17"/>
      <c r="AB17"/>
    </row>
    <row r="18" spans="1:28" s="4" customFormat="1" ht="14.5" thickBot="1" x14ac:dyDescent="0.35">
      <c r="A18" s="4">
        <v>16</v>
      </c>
      <c r="B18" s="4">
        <f ca="1">CORREL(OFFSET(Rank!$B$2:$B$11, 0, $A18), OFFSET(Rank!$B$2:$B$11, 0, B$1))</f>
        <v>0.9604907590145022</v>
      </c>
      <c r="C18" s="4">
        <f ca="1">CORREL(OFFSET(Rank!$B$2:$B$11, 0, $A18), OFFSET(Rank!$B$2:$B$11, 0, C$1))</f>
        <v>-0.62006365455366586</v>
      </c>
      <c r="D18" s="4">
        <f ca="1">CORREL(OFFSET(Rank!$B$2:$B$11, 0, $A18), OFFSET(Rank!$B$2:$B$11, 0, D$1))</f>
        <v>0.9604907590145022</v>
      </c>
      <c r="E18" s="4">
        <f ca="1">CORREL(OFFSET(Rank!$B$2:$B$11, 0, $A18), OFFSET(Rank!$B$2:$B$11, 0, E$1))</f>
        <v>1</v>
      </c>
      <c r="F18" s="4">
        <f ca="1">CORREL(OFFSET(Rank!$B$2:$B$11, 0, $A18), OFFSET(Rank!$B$2:$B$11, 0, F$1))</f>
        <v>0.99392091631013979</v>
      </c>
      <c r="G18" s="4">
        <f ca="1">CORREL(OFFSET(Rank!$B$2:$B$11, 0, $A18), OFFSET(Rank!$B$2:$B$11, 0, G$1))</f>
        <v>1</v>
      </c>
      <c r="H18" s="4">
        <f ca="1">CORREL(OFFSET(Rank!$B$2:$B$11, 0, $A18), OFFSET(Rank!$B$2:$B$11, 0, H$1))</f>
        <v>0.93009548183049895</v>
      </c>
      <c r="I18" s="4">
        <f ca="1">CORREL(OFFSET(Rank!$B$2:$B$11, 0, $A18), OFFSET(Rank!$B$2:$B$11, 0, I$1))</f>
        <v>0.66261704261127052</v>
      </c>
      <c r="J18" s="4">
        <f ca="1">CORREL(OFFSET(Rank!$B$2:$B$11, 0, $A18), OFFSET(Rank!$B$2:$B$11, 0, J$1))</f>
        <v>0.98787878787878791</v>
      </c>
      <c r="K18" s="4">
        <f ca="1">CORREL(OFFSET(Rank!$B$2:$B$11, 0, $A18), OFFSET(Rank!$B$2:$B$11, 0, K$1))</f>
        <v>-0.28484848484848485</v>
      </c>
      <c r="L18" s="4">
        <f ca="1">CORREL(OFFSET(Rank!$B$2:$B$11, 0, $A18), OFFSET(Rank!$B$2:$B$11, 0, L$1))</f>
        <v>-0.42553388057604524</v>
      </c>
      <c r="M18" s="4">
        <f ca="1">CORREL(OFFSET(Rank!$B$2:$B$11, 0, $A18), OFFSET(Rank!$B$2:$B$11, 0, M$1))</f>
        <v>-0.74391626864930693</v>
      </c>
      <c r="N18" s="4">
        <f ca="1">CORREL(OFFSET(Rank!$B$2:$B$11, 0, $A18), OFFSET(Rank!$B$2:$B$11, 0, N$1))</f>
        <v>-0.67272727272727273</v>
      </c>
      <c r="O18" s="4">
        <f ca="1">CORREL(OFFSET(Rank!$B$2:$B$11, 0, $A18), OFFSET(Rank!$B$2:$B$11, 0, O$1))</f>
        <v>-0.92727272727272736</v>
      </c>
      <c r="P18" s="4">
        <f ca="1">CORREL(OFFSET(Rank!$B$2:$B$11, 0, $A18), OFFSET(Rank!$B$2:$B$11, 0, P$1))</f>
        <v>-0.94387980744853883</v>
      </c>
      <c r="Q18" s="4">
        <f ca="1">CORREL(OFFSET(Rank!$B$2:$B$11, 0, $A18), OFFSET(Rank!$B$2:$B$11, 0, Q$1))</f>
        <v>-0.94387980744853883</v>
      </c>
      <c r="R18" s="4">
        <v>0</v>
      </c>
      <c r="S18" s="14"/>
      <c r="T18"/>
      <c r="U18"/>
      <c r="V18"/>
      <c r="W18"/>
      <c r="X18"/>
      <c r="Y18"/>
      <c r="Z18"/>
      <c r="AA18"/>
      <c r="AB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RawData</vt:lpstr>
      <vt:lpstr>Score</vt:lpstr>
      <vt:lpstr>Rank</vt:lpstr>
      <vt:lpstr>Spearman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 谭</dc:creator>
  <cp:lastModifiedBy>晓 谭</cp:lastModifiedBy>
  <dcterms:created xsi:type="dcterms:W3CDTF">2026-01-24T06:38:26Z</dcterms:created>
  <dcterms:modified xsi:type="dcterms:W3CDTF">2026-01-25T02:27:40Z</dcterms:modified>
</cp:coreProperties>
</file>